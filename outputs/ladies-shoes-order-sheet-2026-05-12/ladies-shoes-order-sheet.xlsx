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cc2276ac4a45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rder Sheet" sheetId="1" r:id="Rdaea9197adf645e5"/>
    <x:sheet xmlns:r="http://schemas.openxmlformats.org/officeDocument/2006/relationships" name="Lookup Values" sheetId="2" r:id="Rb5fe41d5b0784f7f"/>
    <x:sheet xmlns:r="http://schemas.openxmlformats.org/officeDocument/2006/relationships" name="Ladies Categories" sheetId="3" r:id="Rd37703ed19924a13"/>
    <x:sheet xmlns:r="http://schemas.openxmlformats.org/officeDocument/2006/relationships" name="Size Templates" sheetId="4" r:id="Rc945f9b27def48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%"/>
    <x:numFmt numFmtId="203" formatCode="yyyy-mm-dd"/>
  </x:numFmts>
  <x:fonts count="8">
    <x:font>
      <x:sz val="11"/>
      <x:name val="Carlito"/>
    </x:font>
    <x:font>
      <x:b/>
      <x:sz val="16"/>
      <x:color rgb="FFFFFF"/>
      <x:name val="Carlito"/>
    </x:font>
    <x:font>
      <x:sz val="11"/>
      <x:color rgb="17365D"/>
      <x:name val="Carlito"/>
    </x:font>
    <x:font>
      <x:b/>
      <x:sz val="11"/>
      <x:color rgb="FFFFFF"/>
      <x:name val="Carlito"/>
    </x:font>
    <x:font>
      <x:sz val="11"/>
      <x:color rgb="1F2937"/>
      <x:name val="Carlito"/>
    </x:font>
    <x:font>
      <x:b/>
      <x:sz val="14"/>
      <x:color rgb="FFFFFF"/>
      <x:name val="Carlito"/>
    </x:font>
    <x:font>
      <x:b/>
      <x:sz val="11"/>
      <x:color rgb="1F2937"/>
      <x:name val="Carlito"/>
    </x:font>
    <x:font>
      <x:b/>
      <x:sz val="11"/>
      <x:color rgb="17365D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D9EAF7"/>
      </x:patternFill>
    </x:fill>
    <x:fill>
      <x:patternFill patternType="solid">
        <x:fgColor rgb="244062"/>
      </x:patternFill>
    </x:fill>
    <x:fill>
      <x:patternFill patternType="solid">
        <x:fgColor rgb="FFFFFF"/>
      </x:patternFill>
    </x:fill>
    <x:fill>
      <x:patternFill patternType="solid">
        <x:fgColor rgb="EAF4E3"/>
      </x:patternFill>
    </x:fill>
    <x:fill>
      <x:patternFill patternType="solid">
        <x:fgColor rgb="EEF2F6"/>
      </x:patternFill>
    </x:fill>
    <x:fill>
      <x:patternFill patternType="solid">
        <x:fgColor rgb="EDF6FF"/>
      </x:patternFill>
    </x:fill>
    <x:fill>
      <x:patternFill patternType="solid">
        <x:fgColor rgb="FFF7D6"/>
      </x:patternFill>
    </x:fill>
  </x:fills>
  <x:borders count="1">
    <x:border/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1" fontId="0" fillId="9" borderId="0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4" fillId="7" borderId="0" xfId="0" applyNumberFormat="1" applyFont="1" applyFill="1" applyBorder="1" applyAlignment="1">
      <x:alignment wrapText="1"/>
    </x:xf>
    <x:xf numFmtId="202" fontId="4" fillId="7" borderId="0" xfId="0" applyNumberFormat="1" applyFont="1" applyFill="1" applyBorder="1" applyAlignment="1">
      <x:alignment wrapText="1"/>
    </x:xf>
    <x:xf numFmtId="203" fontId="0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dd146b793d42ee" /><Relationship Type="http://schemas.openxmlformats.org/officeDocument/2006/relationships/theme" Target="/xl/theme/theme1.xml" Id="Rfc23682582714718" /><Relationship Type="http://schemas.openxmlformats.org/officeDocument/2006/relationships/sharedStrings" Target="/xl/sharedStrings.xml" Id="R831a8d2ae54c4234" /><Relationship Type="http://schemas.openxmlformats.org/officeDocument/2006/relationships/worksheet" Target="/xl/worksheets/sheet1.xml" Id="Rdaea9197adf645e5" /><Relationship Type="http://schemas.openxmlformats.org/officeDocument/2006/relationships/worksheet" Target="/xl/worksheets/sheet2.xml" Id="Rb5fe41d5b0784f7f" /><Relationship Type="http://schemas.openxmlformats.org/officeDocument/2006/relationships/worksheet" Target="/xl/worksheets/sheet3.xml" Id="Rd37703ed19924a13" /><Relationship Type="http://schemas.openxmlformats.org/officeDocument/2006/relationships/worksheet" Target="/xl/worksheets/sheet4.xml" Id="Rc945f9b27def485a" /></Relationships>
</file>

<file path=xl/tables/table1.xml><?xml version="1.0" encoding="utf-8"?>
<x:table xmlns:x="http://schemas.openxmlformats.org/spreadsheetml/2006/main" id="1" name="OrderSheetTable" displayName="OrderSheetTable" ref="A4:BC104" headerRowCount="1">
  <x:autoFilter ref="A4:BC104"/>
  <x:tableColumns count="55">
    <x:tableColumn id="1" name="Line #"/>
    <x:tableColumn id="2" name="Supplier Style"/>
    <x:tableColumn id="3" name="Supplier Color Code"/>
    <x:tableColumn id="4" name="Supplier Color Name"/>
    <x:tableColumn id="5" name="Vendor Description"/>
    <x:tableColumn id="6" name="Category"/>
    <x:tableColumn id="7" name="Size Type"/>
    <x:tableColumn id="8" name="MOQ Qty"/>
    <x:tableColumn id="9" name="Quoted Qty"/>
    <x:tableColumn id="10" name="Unit Cost"/>
    <x:tableColumn id="11" name="Landed Cost HNL"/>
    <x:tableColumn id="12" name="Target Retail HNL"/>
    <x:tableColumn id="13" name="Planned Receipt Date"/>
    <x:tableColumn id="14" name="Qty 330"/>
    <x:tableColumn id="15" name="Qty 340"/>
    <x:tableColumn id="16" name="Qty 350"/>
    <x:tableColumn id="17" name="Qty 360"/>
    <x:tableColumn id="18" name="Qty 370"/>
    <x:tableColumn id="19" name="Qty 380"/>
    <x:tableColumn id="20" name="Qty 390"/>
    <x:tableColumn id="21" name="Qty 400"/>
    <x:tableColumn id="22" name="Qty 410"/>
    <x:tableColumn id="23" name="Qty 42"/>
    <x:tableColumn id="24" name="Qty 43"/>
    <x:tableColumn id="25" name="Qty 44"/>
    <x:tableColumn id="26" name="Total Units"/>
    <x:tableColumn id="27" name="Extended Unit Cost"/>
    <x:tableColumn id="28" name="Extended Landed HNL"/>
    <x:tableColumn id="29" name="Gross Margin %"/>
    <x:tableColumn id="30" name="Gênero"/>
    <x:tableColumn id="31" name="Comprador"/>
    <x:tableColumn id="32" name="Empresa"/>
    <x:tableColumn id="33" name="Cadena"/>
    <x:tableColumn id="34" name="Tipo de Descuento (comma-separated)"/>
    <x:tableColumn id="35" name="Color"/>
    <x:tableColumn id="36" name="Familia de Color"/>
    <x:tableColumn id="37" name="Tipo de Zapato"/>
    <x:tableColumn id="38" name="Material Superior"/>
    <x:tableColumn id="39" name="Material de Suela"/>
    <x:tableColumn id="40" name="Altura del Tacón"/>
    <x:tableColumn id="41" name="Forma del Tacón"/>
    <x:tableColumn id="42" name="Material del Tacón"/>
    <x:tableColumn id="43" name="Forma de la Punta"/>
    <x:tableColumn id="44" name="Ancho"/>
    <x:tableColumn id="45" name="Tipo de Cierre"/>
    <x:tableColumn id="46" name="Patrón"/>
    <x:tableColumn id="47" name="Acabado"/>
    <x:tableColumn id="48" name="Accesorio"/>
    <x:tableColumn id="49" name="Ocasión"/>
    <x:tableColumn id="50" name="Tipo de Etiqueta"/>
    <x:tableColumn id="51" name="Departamento Macro"/>
    <x:tableColumn id="52" name="Marca"/>
    <x:tableColumn id="53" name="Image URL"/>
    <x:tableColumn id="54" name="Keywords"/>
    <x:tableColumn id="55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LookupValuesTable" displayName="LookupValuesTable" ref="A4:F256" headerRowCount="1">
  <x:autoFilter ref="A4:F256"/>
  <x:tableColumns count="6">
    <x:tableColumn id="1" name="Dimension Code"/>
    <x:tableColumn id="2" name="Dimension Label"/>
    <x:tableColumn id="3" name="Value Code"/>
    <x:tableColumn id="4" name="Value Label"/>
    <x:tableColumn id="5" name="Dropdown Label"/>
    <x:tableColumn id="6" name="Multi Value"/>
  </x:tableColumns>
  <x:tableStyleInfo name="TableStyleMedium2" showRowStripes="1"/>
</x:table>
</file>

<file path=xl/tables/table3.xml><?xml version="1.0" encoding="utf-8"?>
<x:table xmlns:x="http://schemas.openxmlformats.org/spreadsheetml/2006/main" id="3" name="LadiesCategoriesTable" displayName="LadiesCategoriesTable" ref="A4:E49" headerRowCount="1">
  <x:autoFilter ref="A4:E49"/>
  <x:tableColumns count="5">
    <x:tableColumn id="1" name="Category #"/>
    <x:tableColumn id="2" name="Category Description"/>
    <x:tableColumn id="3" name="Department #"/>
    <x:tableColumn id="4" name="Department Description"/>
    <x:tableColumn id="5" name="Dropdown Label"/>
  </x:tableColumns>
  <x:tableStyleInfo name="TableStyleMedium2" showRowStripes="1"/>
</x:table>
</file>

<file path=xl/tables/table4.xml><?xml version="1.0" encoding="utf-8"?>
<x:table xmlns:x="http://schemas.openxmlformats.org/spreadsheetml/2006/main" id="4" name="SizeTemplatesTable" displayName="SizeTemplatesTable" ref="A4:H8" headerRowCount="1">
  <x:autoFilter ref="A4:H8"/>
  <x:tableColumns count="8">
    <x:tableColumn id="1" name="Size Type"/>
    <x:tableColumn id="2" name="Description"/>
    <x:tableColumn id="3" name="Column Desc"/>
    <x:tableColumn id="4" name="Row Desc"/>
    <x:tableColumn id="5" name="Size Labels"/>
    <x:tableColumn id="6" name="Dropdown Label"/>
    <x:tableColumn id="7" name="Row Labels"/>
    <x:tableColumn id="8" name="Grid Shap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ea80af3e554b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5b3e13dd3fc4c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07c7dde34844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41ae7739e7a40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.630000114440918" hidden="0" customWidth="1"/>
    <x:col min="2" max="2" width="20.190000534057617" hidden="0" customWidth="1"/>
    <x:col min="3" max="3" width="15.479999542236328" hidden="0" customWidth="1"/>
    <x:col min="4" max="4" width="18.84000015258789" hidden="0" customWidth="1"/>
    <x:col min="5" max="5" width="28.940000534057617" hidden="0" customWidth="1"/>
    <x:col min="6" max="6" width="30.280000686645508" hidden="0" customWidth="1"/>
    <x:col min="7" max="7" width="21.530000686645508" hidden="0" customWidth="1"/>
    <x:col min="8" max="8" width="9.829999923706055" hidden="0" customWidth="1"/>
    <x:col min="9" max="9" width="10.770000457763672" hidden="0" customWidth="1"/>
    <x:col min="10" max="10" width="12.109999656677246" hidden="0" customWidth="1"/>
    <x:col min="11" max="11" width="14.800000190734863" hidden="0" customWidth="1"/>
    <x:col min="12" max="12" width="14.130000114440918" hidden="0" customWidth="1"/>
    <x:col min="13" max="13" width="16.149999618530273" hidden="0" customWidth="1"/>
    <x:col min="14" max="14" width="7.670000076293945" hidden="0" customWidth="1"/>
    <x:col min="15" max="15" width="7.670000076293945" hidden="0" customWidth="1"/>
    <x:col min="16" max="16" width="7.670000076293945" hidden="0" customWidth="1"/>
    <x:col min="17" max="17" width="7.670000076293945" hidden="0" customWidth="1"/>
    <x:col min="18" max="18" width="7.670000076293945" hidden="0" customWidth="1"/>
    <x:col min="19" max="19" width="7.670000076293945" hidden="0" customWidth="1"/>
    <x:col min="20" max="20" width="7.670000076293945" hidden="0" customWidth="1"/>
    <x:col min="21" max="21" width="7.670000076293945" hidden="0" customWidth="1"/>
    <x:col min="22" max="22" width="7.670000076293945" hidden="0" customWidth="1"/>
    <x:col min="23" max="23" width="7.670000076293945" hidden="0" customWidth="1"/>
    <x:col min="24" max="24" width="7.670000076293945" hidden="0" customWidth="1"/>
    <x:col min="25" max="25" width="7.670000076293945" hidden="0" customWidth="1"/>
    <x:col min="26" max="26" width="14.399999618530273" hidden="0" customWidth="1"/>
    <x:col min="27" max="27" width="14.399999618530273" hidden="0" customWidth="1"/>
    <x:col min="28" max="28" width="14.399999618530273" hidden="0" customWidth="1"/>
    <x:col min="29" max="29" width="14.399999618530273" hidden="0" customWidth="1"/>
    <x:col min="30" max="30" width="18.84000015258789" hidden="0" customWidth="1"/>
    <x:col min="31" max="31" width="18.84000015258789" hidden="0" customWidth="1"/>
    <x:col min="32" max="32" width="18.84000015258789" hidden="0" customWidth="1"/>
    <x:col min="33" max="33" width="18.84000015258789" hidden="0" customWidth="1"/>
    <x:col min="34" max="34" width="18.84000015258789" hidden="0" customWidth="1"/>
    <x:col min="35" max="35" width="18.84000015258789" hidden="0" customWidth="1"/>
    <x:col min="36" max="36" width="18.84000015258789" hidden="0" customWidth="1"/>
    <x:col min="37" max="37" width="18.84000015258789" hidden="0" customWidth="1"/>
    <x:col min="38" max="38" width="18.84000015258789" hidden="0" customWidth="1"/>
    <x:col min="39" max="39" width="18.84000015258789" hidden="0" customWidth="1"/>
    <x:col min="40" max="40" width="18.84000015258789" hidden="0" customWidth="1"/>
    <x:col min="41" max="41" width="18.84000015258789" hidden="0" customWidth="1"/>
    <x:col min="42" max="42" width="18.84000015258789" hidden="0" customWidth="1"/>
    <x:col min="43" max="43" width="18.84000015258789" hidden="0" customWidth="1"/>
    <x:col min="44" max="44" width="18.84000015258789" hidden="0" customWidth="1"/>
    <x:col min="45" max="45" width="18.84000015258789" hidden="0" customWidth="1"/>
    <x:col min="46" max="46" width="18.84000015258789" hidden="0" customWidth="1"/>
    <x:col min="47" max="47" width="18.84000015258789" hidden="0" customWidth="1"/>
    <x:col min="48" max="48" width="18.84000015258789" hidden="0" customWidth="1"/>
    <x:col min="49" max="49" width="18.84000015258789" hidden="0" customWidth="1"/>
    <x:col min="50" max="50" width="18.84000015258789" hidden="0" customWidth="1"/>
    <x:col min="51" max="51" width="18.84000015258789" hidden="0" customWidth="1"/>
    <x:col min="52" max="52" width="18.84000015258789" hidden="0" customWidth="1"/>
    <x:col min="53" max="53" width="27.59000015258789" hidden="0" customWidth="1"/>
    <x:col min="54" max="54" width="20.860000610351562" hidden="0" customWidth="1"/>
    <x:col min="55" max="55" width="30.280000686645508" hidden="0" customWidth="1"/>
  </x:cols>
  <x:sheetData>
    <x:row r="1" ht="25.5" customHeight="1">
      <x:c r="A1" s="2" t="str">
        <x:v>Ladies Shoes Order Sheet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</x:row>
    <x:row r="2" ht="18" customHeight="1">
      <x:c r="A2" s="5" t="str">
        <x:v>Family: zapatos (Zapatos) | Category filter: ladies/women shoe departments | Default size type: 214 - Zap Damas 33-41 SI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 s="5"/>
      <x:c r="AD2" s="5"/>
      <x:c r="AE2" s="5"/>
      <x:c r="AF2" s="5"/>
      <x:c r="AG2" s="5"/>
      <x:c r="AH2" s="5"/>
      <x:c r="AI2" s="5"/>
      <x:c r="AJ2" s="5"/>
      <x:c r="AK2" s="5"/>
      <x:c r="AL2" s="5"/>
      <x:c r="AM2" s="5"/>
      <x:c r="AN2" s="5"/>
      <x:c r="AO2" s="5"/>
      <x:c r="AP2" s="5"/>
      <x:c r="AQ2" s="5"/>
      <x:c r="AR2" s="5"/>
      <x:c r="AS2" s="5"/>
      <x:c r="AT2" s="5"/>
      <x:c r="AU2" s="5"/>
      <x:c r="AV2" s="5"/>
      <x:c r="AW2" s="5"/>
      <x:c r="AX2" s="5"/>
      <x:c r="AY2" s="5"/>
      <x:c r="AZ2" s="5"/>
      <x:c r="BA2" s="5"/>
      <x:c r="BB2" s="5"/>
      <x:c r="BC2" s="5"/>
    </x:row>
    <x:row r="3" ht="18" customHeight="1">
      <x:c r="A3" s="5" t="str">
        <x:v>Buyer/vendor input table. Use dropdowns where provided; enter Discount Type(s) as comma-separated values from Lookup Values.</x:v>
      </x:c>
      <x:c r="B3" s="5"/>
      <x:c r="C3" s="5"/>
      <x:c r="D3" s="5"/>
      <x:c r="E3" s="5"/>
      <x:c r="F3" s="5"/>
      <x:c r="G3" s="5"/>
      <x:c r="H3" s="5"/>
      <x:c r="I3" s="5"/>
      <x:c r="J3" s="5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  <x:c r="AC3" s="5"/>
      <x:c r="AD3" s="5"/>
      <x:c r="AE3" s="5"/>
      <x:c r="AF3" s="5"/>
      <x:c r="AG3" s="5"/>
      <x:c r="AH3" s="5"/>
      <x:c r="AI3" s="5"/>
      <x:c r="AJ3" s="5"/>
      <x:c r="AK3" s="5"/>
      <x:c r="AL3" s="5"/>
      <x:c r="AM3" s="5"/>
      <x:c r="AN3" s="5"/>
      <x:c r="AO3" s="5"/>
      <x:c r="AP3" s="5"/>
      <x:c r="AQ3" s="5"/>
      <x:c r="AR3" s="5"/>
      <x:c r="AS3" s="5"/>
      <x:c r="AT3" s="5"/>
      <x:c r="AU3" s="5"/>
      <x:c r="AV3" s="5"/>
      <x:c r="AW3" s="5"/>
      <x:c r="AX3" s="5"/>
      <x:c r="AY3" s="5"/>
      <x:c r="AZ3" s="5"/>
      <x:c r="BA3" s="5"/>
      <x:c r="BB3" s="5"/>
      <x:c r="BC3" s="5"/>
    </x:row>
    <x:row r="4" ht="36" customHeight="1">
      <x:c r="A4" s="8" t="str">
        <x:v>Line #</x:v>
      </x:c>
      <x:c r="B4" s="8" t="str">
        <x:v>Supplier Style</x:v>
      </x:c>
      <x:c r="C4" s="8" t="str">
        <x:v>Supplier Color Code</x:v>
      </x:c>
      <x:c r="D4" s="8" t="str">
        <x:v>Supplier Color Name</x:v>
      </x:c>
      <x:c r="E4" s="8" t="str">
        <x:v>Vendor Description</x:v>
      </x:c>
      <x:c r="F4" s="8" t="str">
        <x:v>Category</x:v>
      </x:c>
      <x:c r="G4" s="8" t="str">
        <x:v>Size Type</x:v>
      </x:c>
      <x:c r="H4" s="8" t="str">
        <x:v>MOQ Qty</x:v>
      </x:c>
      <x:c r="I4" s="8" t="str">
        <x:v>Quoted Qty</x:v>
      </x:c>
      <x:c r="J4" s="8" t="str">
        <x:v>Unit Cost</x:v>
      </x:c>
      <x:c r="K4" s="8" t="str">
        <x:v>Landed Cost HNL</x:v>
      </x:c>
      <x:c r="L4" s="8" t="str">
        <x:v>Target Retail HNL</x:v>
      </x:c>
      <x:c r="M4" s="8" t="str">
        <x:v>Planned Receipt Date</x:v>
      </x:c>
      <x:c r="N4" s="8" t="str">
        <x:v>Qty 330</x:v>
      </x:c>
      <x:c r="O4" s="8" t="str">
        <x:v>Qty 340</x:v>
      </x:c>
      <x:c r="P4" s="8" t="str">
        <x:v>Qty 350</x:v>
      </x:c>
      <x:c r="Q4" s="8" t="str">
        <x:v>Qty 360</x:v>
      </x:c>
      <x:c r="R4" s="8" t="str">
        <x:v>Qty 370</x:v>
      </x:c>
      <x:c r="S4" s="8" t="str">
        <x:v>Qty 380</x:v>
      </x:c>
      <x:c r="T4" s="8" t="str">
        <x:v>Qty 390</x:v>
      </x:c>
      <x:c r="U4" s="8" t="str">
        <x:v>Qty 400</x:v>
      </x:c>
      <x:c r="V4" s="8" t="str">
        <x:v>Qty 410</x:v>
      </x:c>
      <x:c r="W4" s="8" t="str">
        <x:v>Qty 42</x:v>
      </x:c>
      <x:c r="X4" s="8" t="str">
        <x:v>Qty 43</x:v>
      </x:c>
      <x:c r="Y4" s="8" t="str">
        <x:v>Qty 44</x:v>
      </x:c>
      <x:c r="Z4" s="8" t="str">
        <x:v>Total Units</x:v>
      </x:c>
      <x:c r="AA4" s="8" t="str">
        <x:v>Extended Unit Cost</x:v>
      </x:c>
      <x:c r="AB4" s="8" t="str">
        <x:v>Extended Landed HNL</x:v>
      </x:c>
      <x:c r="AC4" s="8" t="str">
        <x:v>Gross Margin %</x:v>
      </x:c>
      <x:c r="AD4" s="8" t="str">
        <x:v>Gênero</x:v>
      </x:c>
      <x:c r="AE4" s="8" t="str">
        <x:v>Comprador</x:v>
      </x:c>
      <x:c r="AF4" s="8" t="str">
        <x:v>Empresa</x:v>
      </x:c>
      <x:c r="AG4" s="8" t="str">
        <x:v>Cadena</x:v>
      </x:c>
      <x:c r="AH4" s="8" t="str">
        <x:v>Tipo de Descuento (comma-separated)</x:v>
      </x:c>
      <x:c r="AI4" s="8" t="str">
        <x:v>Color</x:v>
      </x:c>
      <x:c r="AJ4" s="8" t="str">
        <x:v>Familia de Color</x:v>
      </x:c>
      <x:c r="AK4" s="8" t="str">
        <x:v>Tipo de Zapato</x:v>
      </x:c>
      <x:c r="AL4" s="8" t="str">
        <x:v>Material Superior</x:v>
      </x:c>
      <x:c r="AM4" s="8" t="str">
        <x:v>Material de Suela</x:v>
      </x:c>
      <x:c r="AN4" s="8" t="str">
        <x:v>Altura del Tacón</x:v>
      </x:c>
      <x:c r="AO4" s="8" t="str">
        <x:v>Forma del Tacón</x:v>
      </x:c>
      <x:c r="AP4" s="8" t="str">
        <x:v>Material del Tacón</x:v>
      </x:c>
      <x:c r="AQ4" s="8" t="str">
        <x:v>Forma de la Punta</x:v>
      </x:c>
      <x:c r="AR4" s="8" t="str">
        <x:v>Ancho</x:v>
      </x:c>
      <x:c r="AS4" s="8" t="str">
        <x:v>Tipo de Cierre</x:v>
      </x:c>
      <x:c r="AT4" s="8" t="str">
        <x:v>Patrón</x:v>
      </x:c>
      <x:c r="AU4" s="8" t="str">
        <x:v>Acabado</x:v>
      </x:c>
      <x:c r="AV4" s="8" t="str">
        <x:v>Accesorio</x:v>
      </x:c>
      <x:c r="AW4" s="8" t="str">
        <x:v>Ocasión</x:v>
      </x:c>
      <x:c r="AX4" s="8" t="str">
        <x:v>Tipo de Etiqueta</x:v>
      </x:c>
      <x:c r="AY4" s="8" t="str">
        <x:v>Departamento Macro</x:v>
      </x:c>
      <x:c r="AZ4" s="8" t="str">
        <x:v>Marca</x:v>
      </x:c>
      <x:c r="BA4" s="8" t="str">
        <x:v>Image URL</x:v>
      </x:c>
      <x:c r="BB4" s="8" t="str">
        <x:v>Keywords</x:v>
      </x:c>
      <x:c r="BC4" s="8" t="str">
        <x:v>Notes</x:v>
      </x:c>
    </x:row>
    <x:row r="5">
      <x:c r="A5" s="10" t="str">
        <x:f>IF(COUNTA($B5:$M5)&gt;0,ROW()-4,"")</x:f>
      </x:c>
      <x:c r="B5" s="15"/>
      <x:c r="C5" s="10"/>
      <x:c r="D5" s="10"/>
      <x:c r="E5" s="10"/>
      <x:c r="F5" s="15"/>
      <x:c r="G5" s="15"/>
      <x:c r="H5" s="16"/>
      <x:c r="I5" s="16"/>
      <x:c r="J5" s="18"/>
      <x:c r="K5" s="19"/>
      <x:c r="L5" s="19"/>
      <x:c r="M5" s="22"/>
      <x:c r="N5" s="17"/>
      <x:c r="O5" s="17"/>
      <x:c r="P5" s="17"/>
      <x:c r="Q5" s="17"/>
      <x:c r="R5" s="17"/>
      <x:c r="S5" s="17"/>
      <x:c r="T5" s="17"/>
      <x:c r="U5" s="17"/>
      <x:c r="V5" s="17"/>
      <x:c r="W5" s="17"/>
      <x:c r="X5" s="17"/>
      <x:c r="Y5" s="17"/>
      <x:c r="Z5" s="13" t="str">
        <x:f>IF(COUNT(N5:Y5)=0,"",SUM(N5:Y5))</x:f>
      </x:c>
      <x:c r="AA5" s="20" t="str">
        <x:f>IF(OR($J5="",AND($Z5="",$I5="")),"",IF($Z5&lt;&gt;"",$Z5,$I5)*$J5)</x:f>
      </x:c>
      <x:c r="AB5" s="20" t="str">
        <x:f>IF(OR($K5="",AND($Z5="",$I5="")),"",IF($Z5&lt;&gt;"",$Z5,$I5)*$K5)</x:f>
      </x:c>
      <x:c r="AC5" s="21" t="str">
        <x:f>IF(OR($K5="",$L5="",$L5=0),"",($L5-$K5)/$L5)</x:f>
      </x:c>
      <x:c r="AD5" s="14"/>
      <x:c r="AE5" s="14"/>
      <x:c r="AF5" s="14"/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14"/>
      <x:c r="BA5" s="10"/>
      <x:c r="BB5" s="10"/>
      <x:c r="BC5" s="10"/>
    </x:row>
    <x:row r="6">
      <x:c r="A6" s="10" t="str">
        <x:f>IF(COUNTA($B6:$M6)&gt;0,ROW()-4,"")</x:f>
      </x:c>
      <x:c r="B6" s="15"/>
      <x:c r="C6" s="10"/>
      <x:c r="D6" s="10"/>
      <x:c r="E6" s="10"/>
      <x:c r="F6" s="15"/>
      <x:c r="G6" s="15"/>
      <x:c r="H6" s="16"/>
      <x:c r="I6" s="16"/>
      <x:c r="J6" s="18"/>
      <x:c r="K6" s="19"/>
      <x:c r="L6" s="19"/>
      <x:c r="M6" s="22"/>
      <x:c r="N6" s="17"/>
      <x:c r="O6" s="17"/>
      <x:c r="P6" s="17"/>
      <x:c r="Q6" s="17"/>
      <x:c r="R6" s="17"/>
      <x:c r="S6" s="17"/>
      <x:c r="T6" s="17"/>
      <x:c r="U6" s="17"/>
      <x:c r="V6" s="17"/>
      <x:c r="W6" s="17"/>
      <x:c r="X6" s="17"/>
      <x:c r="Y6" s="17"/>
      <x:c r="Z6" s="13" t="str">
        <x:f>IF(COUNT(N6:Y6)=0,"",SUM(N6:Y6))</x:f>
      </x:c>
      <x:c r="AA6" s="20" t="str">
        <x:f>IF(OR($J6="",AND($Z6="",$I6="")),"",IF($Z6&lt;&gt;"",$Z6,$I6)*$J6)</x:f>
      </x:c>
      <x:c r="AB6" s="20" t="str">
        <x:f>IF(OR($K6="",AND($Z6="",$I6="")),"",IF($Z6&lt;&gt;"",$Z6,$I6)*$K6)</x:f>
      </x:c>
      <x:c r="AC6" s="21" t="str">
        <x:f>IF(OR($K6="",$L6="",$L6=0),"",($L6-$K6)/$L6)</x:f>
      </x:c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4"/>
      <x:c r="AU6" s="14"/>
      <x:c r="AV6" s="14"/>
      <x:c r="AW6" s="14"/>
      <x:c r="AX6" s="14"/>
      <x:c r="AY6" s="14"/>
      <x:c r="AZ6" s="14"/>
      <x:c r="BA6" s="10"/>
      <x:c r="BB6" s="10"/>
      <x:c r="BC6" s="10"/>
    </x:row>
    <x:row r="7">
      <x:c r="A7" s="10" t="str">
        <x:f>IF(COUNTA($B7:$M7)&gt;0,ROW()-4,"")</x:f>
      </x:c>
      <x:c r="B7" s="15"/>
      <x:c r="C7" s="10"/>
      <x:c r="D7" s="10"/>
      <x:c r="E7" s="10"/>
      <x:c r="F7" s="15"/>
      <x:c r="G7" s="15"/>
      <x:c r="H7" s="16"/>
      <x:c r="I7" s="16"/>
      <x:c r="J7" s="18"/>
      <x:c r="K7" s="19"/>
      <x:c r="L7" s="19"/>
      <x:c r="M7" s="22"/>
      <x:c r="N7" s="17"/>
      <x:c r="O7" s="17"/>
      <x:c r="P7" s="17"/>
      <x:c r="Q7" s="17"/>
      <x:c r="R7" s="17"/>
      <x:c r="S7" s="17"/>
      <x:c r="T7" s="17"/>
      <x:c r="U7" s="17"/>
      <x:c r="V7" s="17"/>
      <x:c r="W7" s="17"/>
      <x:c r="X7" s="17"/>
      <x:c r="Y7" s="17"/>
      <x:c r="Z7" s="13" t="str">
        <x:f>IF(COUNT(N7:Y7)=0,"",SUM(N7:Y7))</x:f>
      </x:c>
      <x:c r="AA7" s="20" t="str">
        <x:f>IF(OR($J7="",AND($Z7="",$I7="")),"",IF($Z7&lt;&gt;"",$Z7,$I7)*$J7)</x:f>
      </x:c>
      <x:c r="AB7" s="20" t="str">
        <x:f>IF(OR($K7="",AND($Z7="",$I7="")),"",IF($Z7&lt;&gt;"",$Z7,$I7)*$K7)</x:f>
      </x:c>
      <x:c r="AC7" s="21" t="str">
        <x:f>IF(OR($K7="",$L7="",$L7=0),"",($L7-$K7)/$L7)</x:f>
      </x:c>
      <x:c r="AD7" s="14"/>
      <x:c r="AE7" s="14"/>
      <x:c r="AF7" s="14"/>
      <x:c r="AG7" s="14"/>
      <x:c r="AH7" s="14"/>
      <x:c r="AI7" s="14"/>
      <x:c r="AJ7" s="14"/>
      <x:c r="AK7" s="14"/>
      <x:c r="AL7" s="14"/>
      <x:c r="AM7" s="14"/>
      <x:c r="AN7" s="14"/>
      <x:c r="AO7" s="14"/>
      <x:c r="AP7" s="14"/>
      <x:c r="AQ7" s="14"/>
      <x:c r="AR7" s="14"/>
      <x:c r="AS7" s="14"/>
      <x:c r="AT7" s="14"/>
      <x:c r="AU7" s="14"/>
      <x:c r="AV7" s="14"/>
      <x:c r="AW7" s="14"/>
      <x:c r="AX7" s="14"/>
      <x:c r="AY7" s="14"/>
      <x:c r="AZ7" s="14"/>
      <x:c r="BA7" s="10"/>
      <x:c r="BB7" s="10"/>
      <x:c r="BC7" s="10"/>
    </x:row>
    <x:row r="8">
      <x:c r="A8" s="10" t="str">
        <x:f>IF(COUNTA($B8:$M8)&gt;0,ROW()-4,"")</x:f>
      </x:c>
      <x:c r="B8" s="15"/>
      <x:c r="C8" s="10"/>
      <x:c r="D8" s="10"/>
      <x:c r="E8" s="10"/>
      <x:c r="F8" s="15"/>
      <x:c r="G8" s="15"/>
      <x:c r="H8" s="16"/>
      <x:c r="I8" s="16"/>
      <x:c r="J8" s="18"/>
      <x:c r="K8" s="19"/>
      <x:c r="L8" s="19"/>
      <x:c r="M8" s="22"/>
      <x:c r="N8" s="17"/>
      <x:c r="O8" s="17"/>
      <x:c r="P8" s="17"/>
      <x:c r="Q8" s="17"/>
      <x:c r="R8" s="17"/>
      <x:c r="S8" s="17"/>
      <x:c r="T8" s="17"/>
      <x:c r="U8" s="17"/>
      <x:c r="V8" s="17"/>
      <x:c r="W8" s="17"/>
      <x:c r="X8" s="17"/>
      <x:c r="Y8" s="17"/>
      <x:c r="Z8" s="13" t="str">
        <x:f>IF(COUNT(N8:Y8)=0,"",SUM(N8:Y8))</x:f>
      </x:c>
      <x:c r="AA8" s="20" t="str">
        <x:f>IF(OR($J8="",AND($Z8="",$I8="")),"",IF($Z8&lt;&gt;"",$Z8,$I8)*$J8)</x:f>
      </x:c>
      <x:c r="AB8" s="20" t="str">
        <x:f>IF(OR($K8="",AND($Z8="",$I8="")),"",IF($Z8&lt;&gt;"",$Z8,$I8)*$K8)</x:f>
      </x:c>
      <x:c r="AC8" s="21" t="str">
        <x:f>IF(OR($K8="",$L8="",$L8=0),"",($L8-$K8)/$L8)</x:f>
      </x:c>
      <x:c r="AD8" s="14"/>
      <x:c r="AE8" s="14"/>
      <x:c r="AF8" s="14"/>
      <x:c r="AG8" s="14"/>
      <x:c r="AH8" s="14"/>
      <x:c r="AI8" s="14"/>
      <x:c r="AJ8" s="14"/>
      <x:c r="AK8" s="14"/>
      <x:c r="AL8" s="14"/>
      <x:c r="AM8" s="14"/>
      <x:c r="AN8" s="14"/>
      <x:c r="AO8" s="14"/>
      <x:c r="AP8" s="14"/>
      <x:c r="AQ8" s="14"/>
      <x:c r="AR8" s="14"/>
      <x:c r="AS8" s="14"/>
      <x:c r="AT8" s="14"/>
      <x:c r="AU8" s="14"/>
      <x:c r="AV8" s="14"/>
      <x:c r="AW8" s="14"/>
      <x:c r="AX8" s="14"/>
      <x:c r="AY8" s="14"/>
      <x:c r="AZ8" s="14"/>
      <x:c r="BA8" s="10"/>
      <x:c r="BB8" s="10"/>
      <x:c r="BC8" s="10"/>
    </x:row>
    <x:row r="9">
      <x:c r="A9" s="10" t="str">
        <x:f>IF(COUNTA($B9:$M9)&gt;0,ROW()-4,"")</x:f>
      </x:c>
      <x:c r="B9" s="15"/>
      <x:c r="C9" s="10"/>
      <x:c r="D9" s="10"/>
      <x:c r="E9" s="10"/>
      <x:c r="F9" s="15"/>
      <x:c r="G9" s="15"/>
      <x:c r="H9" s="16"/>
      <x:c r="I9" s="16"/>
      <x:c r="J9" s="18"/>
      <x:c r="K9" s="19"/>
      <x:c r="L9" s="19"/>
      <x:c r="M9" s="22"/>
      <x:c r="N9" s="17"/>
      <x:c r="O9" s="17"/>
      <x:c r="P9" s="17"/>
      <x:c r="Q9" s="17"/>
      <x:c r="R9" s="17"/>
      <x:c r="S9" s="17"/>
      <x:c r="T9" s="17"/>
      <x:c r="U9" s="17"/>
      <x:c r="V9" s="17"/>
      <x:c r="W9" s="17"/>
      <x:c r="X9" s="17"/>
      <x:c r="Y9" s="17"/>
      <x:c r="Z9" s="13" t="str">
        <x:f>IF(COUNT(N9:Y9)=0,"",SUM(N9:Y9))</x:f>
      </x:c>
      <x:c r="AA9" s="20" t="str">
        <x:f>IF(OR($J9="",AND($Z9="",$I9="")),"",IF($Z9&lt;&gt;"",$Z9,$I9)*$J9)</x:f>
      </x:c>
      <x:c r="AB9" s="20" t="str">
        <x:f>IF(OR($K9="",AND($Z9="",$I9="")),"",IF($Z9&lt;&gt;"",$Z9,$I9)*$K9)</x:f>
      </x:c>
      <x:c r="AC9" s="21" t="str">
        <x:f>IF(OR($K9="",$L9="",$L9=0),"",($L9-$K9)/$L9)</x:f>
      </x:c>
      <x:c r="AD9" s="14"/>
      <x:c r="AE9" s="14"/>
      <x:c r="AF9" s="14"/>
      <x:c r="AG9" s="14"/>
      <x:c r="AH9" s="14"/>
      <x:c r="AI9" s="14"/>
      <x:c r="AJ9" s="14"/>
      <x:c r="AK9" s="14"/>
      <x:c r="AL9" s="14"/>
      <x:c r="AM9" s="14"/>
      <x:c r="AN9" s="14"/>
      <x:c r="AO9" s="14"/>
      <x:c r="AP9" s="14"/>
      <x:c r="AQ9" s="14"/>
      <x:c r="AR9" s="14"/>
      <x:c r="AS9" s="14"/>
      <x:c r="AT9" s="14"/>
      <x:c r="AU9" s="14"/>
      <x:c r="AV9" s="14"/>
      <x:c r="AW9" s="14"/>
      <x:c r="AX9" s="14"/>
      <x:c r="AY9" s="14"/>
      <x:c r="AZ9" s="14"/>
      <x:c r="BA9" s="10"/>
      <x:c r="BB9" s="10"/>
      <x:c r="BC9" s="10"/>
    </x:row>
    <x:row r="10">
      <x:c r="A10" s="10" t="str">
        <x:f>IF(COUNTA($B10:$M10)&gt;0,ROW()-4,"")</x:f>
      </x:c>
      <x:c r="B10" s="15"/>
      <x:c r="C10" s="10"/>
      <x:c r="D10" s="10"/>
      <x:c r="E10" s="10"/>
      <x:c r="F10" s="15"/>
      <x:c r="G10" s="15"/>
      <x:c r="H10" s="16"/>
      <x:c r="I10" s="16"/>
      <x:c r="J10" s="18"/>
      <x:c r="K10" s="19"/>
      <x:c r="L10" s="19"/>
      <x:c r="M10" s="22"/>
      <x:c r="N10" s="17"/>
      <x:c r="O10" s="17"/>
      <x:c r="P10" s="17"/>
      <x:c r="Q10" s="17"/>
      <x:c r="R10" s="17"/>
      <x:c r="S10" s="17"/>
      <x:c r="T10" s="17"/>
      <x:c r="U10" s="17"/>
      <x:c r="V10" s="17"/>
      <x:c r="W10" s="17"/>
      <x:c r="X10" s="17"/>
      <x:c r="Y10" s="17"/>
      <x:c r="Z10" s="13" t="str">
        <x:f>IF(COUNT(N10:Y10)=0,"",SUM(N10:Y10))</x:f>
      </x:c>
      <x:c r="AA10" s="20" t="str">
        <x:f>IF(OR($J10="",AND($Z10="",$I10="")),"",IF($Z10&lt;&gt;"",$Z10,$I10)*$J10)</x:f>
      </x:c>
      <x:c r="AB10" s="20" t="str">
        <x:f>IF(OR($K10="",AND($Z10="",$I10="")),"",IF($Z10&lt;&gt;"",$Z10,$I10)*$K10)</x:f>
      </x:c>
      <x:c r="AC10" s="21" t="str">
        <x:f>IF(OR($K10="",$L10="",$L10=0),"",($L10-$K10)/$L10)</x:f>
      </x:c>
      <x:c r="AD10" s="14"/>
      <x:c r="AE10" s="14"/>
      <x:c r="AF10" s="14"/>
      <x:c r="AG10" s="14"/>
      <x:c r="AH10" s="14"/>
      <x:c r="AI10" s="14"/>
      <x:c r="AJ10" s="14"/>
      <x:c r="AK10" s="14"/>
      <x:c r="AL10" s="14"/>
      <x:c r="AM10" s="14"/>
      <x:c r="AN10" s="14"/>
      <x:c r="AO10" s="14"/>
      <x:c r="AP10" s="14"/>
      <x:c r="AQ10" s="14"/>
      <x:c r="AR10" s="14"/>
      <x:c r="AS10" s="14"/>
      <x:c r="AT10" s="14"/>
      <x:c r="AU10" s="14"/>
      <x:c r="AV10" s="14"/>
      <x:c r="AW10" s="14"/>
      <x:c r="AX10" s="14"/>
      <x:c r="AY10" s="14"/>
      <x:c r="AZ10" s="14"/>
      <x:c r="BA10" s="10"/>
      <x:c r="BB10" s="10"/>
      <x:c r="BC10" s="10"/>
    </x:row>
    <x:row r="11">
      <x:c r="A11" s="10" t="str">
        <x:f>IF(COUNTA($B11:$M11)&gt;0,ROW()-4,"")</x:f>
      </x:c>
      <x:c r="B11" s="15"/>
      <x:c r="C11" s="10"/>
      <x:c r="D11" s="10"/>
      <x:c r="E11" s="10"/>
      <x:c r="F11" s="15"/>
      <x:c r="G11" s="15"/>
      <x:c r="H11" s="16"/>
      <x:c r="I11" s="16"/>
      <x:c r="J11" s="18"/>
      <x:c r="K11" s="19"/>
      <x:c r="L11" s="19"/>
      <x:c r="M11" s="22"/>
      <x:c r="N11" s="17"/>
      <x:c r="O11" s="17"/>
      <x:c r="P11" s="17"/>
      <x:c r="Q11" s="17"/>
      <x:c r="R11" s="17"/>
      <x:c r="S11" s="17"/>
      <x:c r="T11" s="17"/>
      <x:c r="U11" s="17"/>
      <x:c r="V11" s="17"/>
      <x:c r="W11" s="17"/>
      <x:c r="X11" s="17"/>
      <x:c r="Y11" s="17"/>
      <x:c r="Z11" s="13" t="str">
        <x:f>IF(COUNT(N11:Y11)=0,"",SUM(N11:Y11))</x:f>
      </x:c>
      <x:c r="AA11" s="20" t="str">
        <x:f>IF(OR($J11="",AND($Z11="",$I11="")),"",IF($Z11&lt;&gt;"",$Z11,$I11)*$J11)</x:f>
      </x:c>
      <x:c r="AB11" s="20" t="str">
        <x:f>IF(OR($K11="",AND($Z11="",$I11="")),"",IF($Z11&lt;&gt;"",$Z11,$I11)*$K11)</x:f>
      </x:c>
      <x:c r="AC11" s="21" t="str">
        <x:f>IF(OR($K11="",$L11="",$L11=0),"",($L11-$K11)/$L11)</x:f>
      </x:c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4"/>
      <x:c r="AX11" s="14"/>
      <x:c r="AY11" s="14"/>
      <x:c r="AZ11" s="14"/>
      <x:c r="BA11" s="10"/>
      <x:c r="BB11" s="10"/>
      <x:c r="BC11" s="10"/>
    </x:row>
    <x:row r="12">
      <x:c r="A12" s="10" t="str">
        <x:f>IF(COUNTA($B12:$M12)&gt;0,ROW()-4,"")</x:f>
      </x:c>
      <x:c r="B12" s="15"/>
      <x:c r="C12" s="10"/>
      <x:c r="D12" s="10"/>
      <x:c r="E12" s="10"/>
      <x:c r="F12" s="15"/>
      <x:c r="G12" s="15"/>
      <x:c r="H12" s="16"/>
      <x:c r="I12" s="16"/>
      <x:c r="J12" s="18"/>
      <x:c r="K12" s="19"/>
      <x:c r="L12" s="19"/>
      <x:c r="M12" s="22"/>
      <x:c r="N12" s="17"/>
      <x:c r="O12" s="17"/>
      <x:c r="P12" s="17"/>
      <x:c r="Q12" s="17"/>
      <x:c r="R12" s="17"/>
      <x:c r="S12" s="17"/>
      <x:c r="T12" s="17"/>
      <x:c r="U12" s="17"/>
      <x:c r="V12" s="17"/>
      <x:c r="W12" s="17"/>
      <x:c r="X12" s="17"/>
      <x:c r="Y12" s="17"/>
      <x:c r="Z12" s="13" t="str">
        <x:f>IF(COUNT(N12:Y12)=0,"",SUM(N12:Y12))</x:f>
      </x:c>
      <x:c r="AA12" s="20" t="str">
        <x:f>IF(OR($J12="",AND($Z12="",$I12="")),"",IF($Z12&lt;&gt;"",$Z12,$I12)*$J12)</x:f>
      </x:c>
      <x:c r="AB12" s="20" t="str">
        <x:f>IF(OR($K12="",AND($Z12="",$I12="")),"",IF($Z12&lt;&gt;"",$Z12,$I12)*$K12)</x:f>
      </x:c>
      <x:c r="AC12" s="21" t="str">
        <x:f>IF(OR($K12="",$L12="",$L12=0),"",($L12-$K12)/$L12)</x:f>
      </x:c>
      <x:c r="AD12" s="14"/>
      <x:c r="AE12" s="14"/>
      <x:c r="AF12" s="14"/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4"/>
      <x:c r="AX12" s="14"/>
      <x:c r="AY12" s="14"/>
      <x:c r="AZ12" s="14"/>
      <x:c r="BA12" s="10"/>
      <x:c r="BB12" s="10"/>
      <x:c r="BC12" s="10"/>
    </x:row>
    <x:row r="13">
      <x:c r="A13" s="10" t="str">
        <x:f>IF(COUNTA($B13:$M13)&gt;0,ROW()-4,"")</x:f>
      </x:c>
      <x:c r="B13" s="15"/>
      <x:c r="C13" s="10"/>
      <x:c r="D13" s="10"/>
      <x:c r="E13" s="10"/>
      <x:c r="F13" s="15"/>
      <x:c r="G13" s="15"/>
      <x:c r="H13" s="16"/>
      <x:c r="I13" s="16"/>
      <x:c r="J13" s="18"/>
      <x:c r="K13" s="19"/>
      <x:c r="L13" s="19"/>
      <x:c r="M13" s="22"/>
      <x:c r="N13" s="17"/>
      <x:c r="O13" s="17"/>
      <x:c r="P13" s="17"/>
      <x:c r="Q13" s="17"/>
      <x:c r="R13" s="17"/>
      <x:c r="S13" s="17"/>
      <x:c r="T13" s="17"/>
      <x:c r="U13" s="17"/>
      <x:c r="V13" s="17"/>
      <x:c r="W13" s="17"/>
      <x:c r="X13" s="17"/>
      <x:c r="Y13" s="17"/>
      <x:c r="Z13" s="13" t="str">
        <x:f>IF(COUNT(N13:Y13)=0,"",SUM(N13:Y13))</x:f>
      </x:c>
      <x:c r="AA13" s="20" t="str">
        <x:f>IF(OR($J13="",AND($Z13="",$I13="")),"",IF($Z13&lt;&gt;"",$Z13,$I13)*$J13)</x:f>
      </x:c>
      <x:c r="AB13" s="20" t="str">
        <x:f>IF(OR($K13="",AND($Z13="",$I13="")),"",IF($Z13&lt;&gt;"",$Z13,$I13)*$K13)</x:f>
      </x:c>
      <x:c r="AC13" s="21" t="str">
        <x:f>IF(OR($K13="",$L13="",$L13=0),"",($L13-$K13)/$L13)</x:f>
      </x:c>
      <x:c r="AD13" s="14"/>
      <x:c r="AE13" s="14"/>
      <x:c r="AF13" s="14"/>
      <x:c r="AG13" s="14"/>
      <x:c r="AH13" s="14"/>
      <x:c r="AI13" s="14"/>
      <x:c r="AJ13" s="14"/>
      <x:c r="AK13" s="14"/>
      <x:c r="AL13" s="14"/>
      <x:c r="AM13" s="14"/>
      <x:c r="AN13" s="14"/>
      <x:c r="AO13" s="14"/>
      <x:c r="AP13" s="14"/>
      <x:c r="AQ13" s="14"/>
      <x:c r="AR13" s="14"/>
      <x:c r="AS13" s="14"/>
      <x:c r="AT13" s="14"/>
      <x:c r="AU13" s="14"/>
      <x:c r="AV13" s="14"/>
      <x:c r="AW13" s="14"/>
      <x:c r="AX13" s="14"/>
      <x:c r="AY13" s="14"/>
      <x:c r="AZ13" s="14"/>
      <x:c r="BA13" s="10"/>
      <x:c r="BB13" s="10"/>
      <x:c r="BC13" s="10"/>
    </x:row>
    <x:row r="14">
      <x:c r="A14" s="10" t="str">
        <x:f>IF(COUNTA($B14:$M14)&gt;0,ROW()-4,"")</x:f>
      </x:c>
      <x:c r="B14" s="15"/>
      <x:c r="C14" s="10"/>
      <x:c r="D14" s="10"/>
      <x:c r="E14" s="10"/>
      <x:c r="F14" s="15"/>
      <x:c r="G14" s="15"/>
      <x:c r="H14" s="16"/>
      <x:c r="I14" s="16"/>
      <x:c r="J14" s="18"/>
      <x:c r="K14" s="19"/>
      <x:c r="L14" s="19"/>
      <x:c r="M14" s="22"/>
      <x:c r="N14" s="17"/>
      <x:c r="O14" s="17"/>
      <x:c r="P14" s="17"/>
      <x:c r="Q14" s="17"/>
      <x:c r="R14" s="17"/>
      <x:c r="S14" s="17"/>
      <x:c r="T14" s="17"/>
      <x:c r="U14" s="17"/>
      <x:c r="V14" s="17"/>
      <x:c r="W14" s="17"/>
      <x:c r="X14" s="17"/>
      <x:c r="Y14" s="17"/>
      <x:c r="Z14" s="13" t="str">
        <x:f>IF(COUNT(N14:Y14)=0,"",SUM(N14:Y14))</x:f>
      </x:c>
      <x:c r="AA14" s="20" t="str">
        <x:f>IF(OR($J14="",AND($Z14="",$I14="")),"",IF($Z14&lt;&gt;"",$Z14,$I14)*$J14)</x:f>
      </x:c>
      <x:c r="AB14" s="20" t="str">
        <x:f>IF(OR($K14="",AND($Z14="",$I14="")),"",IF($Z14&lt;&gt;"",$Z14,$I14)*$K14)</x:f>
      </x:c>
      <x:c r="AC14" s="21" t="str">
        <x:f>IF(OR($K14="",$L14="",$L14=0),"",($L14-$K14)/$L14)</x:f>
      </x:c>
      <x:c r="AD14" s="14"/>
      <x:c r="AE14" s="14"/>
      <x:c r="AF14" s="14"/>
      <x:c r="AG14" s="14"/>
      <x:c r="AH14" s="14"/>
      <x:c r="AI14" s="14"/>
      <x:c r="AJ14" s="14"/>
      <x:c r="AK14" s="14"/>
      <x:c r="AL14" s="14"/>
      <x:c r="AM14" s="14"/>
      <x:c r="AN14" s="14"/>
      <x:c r="AO14" s="14"/>
      <x:c r="AP14" s="14"/>
      <x:c r="AQ14" s="14"/>
      <x:c r="AR14" s="14"/>
      <x:c r="AS14" s="14"/>
      <x:c r="AT14" s="14"/>
      <x:c r="AU14" s="14"/>
      <x:c r="AV14" s="14"/>
      <x:c r="AW14" s="14"/>
      <x:c r="AX14" s="14"/>
      <x:c r="AY14" s="14"/>
      <x:c r="AZ14" s="14"/>
      <x:c r="BA14" s="10"/>
      <x:c r="BB14" s="10"/>
      <x:c r="BC14" s="10"/>
    </x:row>
    <x:row r="15">
      <x:c r="A15" s="10" t="str">
        <x:f>IF(COUNTA($B15:$M15)&gt;0,ROW()-4,"")</x:f>
      </x:c>
      <x:c r="B15" s="15"/>
      <x:c r="C15" s="10"/>
      <x:c r="D15" s="10"/>
      <x:c r="E15" s="10"/>
      <x:c r="F15" s="15"/>
      <x:c r="G15" s="15"/>
      <x:c r="H15" s="16"/>
      <x:c r="I15" s="16"/>
      <x:c r="J15" s="18"/>
      <x:c r="K15" s="19"/>
      <x:c r="L15" s="19"/>
      <x:c r="M15" s="22"/>
      <x:c r="N15" s="17"/>
      <x:c r="O15" s="17"/>
      <x:c r="P15" s="17"/>
      <x:c r="Q15" s="17"/>
      <x:c r="R15" s="17"/>
      <x:c r="S15" s="17"/>
      <x:c r="T15" s="17"/>
      <x:c r="U15" s="17"/>
      <x:c r="V15" s="17"/>
      <x:c r="W15" s="17"/>
      <x:c r="X15" s="17"/>
      <x:c r="Y15" s="17"/>
      <x:c r="Z15" s="13" t="str">
        <x:f>IF(COUNT(N15:Y15)=0,"",SUM(N15:Y15))</x:f>
      </x:c>
      <x:c r="AA15" s="20" t="str">
        <x:f>IF(OR($J15="",AND($Z15="",$I15="")),"",IF($Z15&lt;&gt;"",$Z15,$I15)*$J15)</x:f>
      </x:c>
      <x:c r="AB15" s="20" t="str">
        <x:f>IF(OR($K15="",AND($Z15="",$I15="")),"",IF($Z15&lt;&gt;"",$Z15,$I15)*$K15)</x:f>
      </x:c>
      <x:c r="AC15" s="21" t="str">
        <x:f>IF(OR($K15="",$L15="",$L15=0),"",($L15-$K15)/$L15)</x:f>
      </x:c>
      <x:c r="AD15" s="14"/>
      <x:c r="AE15" s="14"/>
      <x:c r="AF15" s="14"/>
      <x:c r="AG15" s="14"/>
      <x:c r="AH15" s="14"/>
      <x:c r="AI15" s="14"/>
      <x:c r="AJ15" s="14"/>
      <x:c r="AK15" s="14"/>
      <x:c r="AL15" s="14"/>
      <x:c r="AM15" s="14"/>
      <x:c r="AN15" s="14"/>
      <x:c r="AO15" s="14"/>
      <x:c r="AP15" s="14"/>
      <x:c r="AQ15" s="14"/>
      <x:c r="AR15" s="14"/>
      <x:c r="AS15" s="14"/>
      <x:c r="AT15" s="14"/>
      <x:c r="AU15" s="14"/>
      <x:c r="AV15" s="14"/>
      <x:c r="AW15" s="14"/>
      <x:c r="AX15" s="14"/>
      <x:c r="AY15" s="14"/>
      <x:c r="AZ15" s="14"/>
      <x:c r="BA15" s="10"/>
      <x:c r="BB15" s="10"/>
      <x:c r="BC15" s="10"/>
    </x:row>
    <x:row r="16">
      <x:c r="A16" s="10" t="str">
        <x:f>IF(COUNTA($B16:$M16)&gt;0,ROW()-4,"")</x:f>
      </x:c>
      <x:c r="B16" s="15"/>
      <x:c r="C16" s="10"/>
      <x:c r="D16" s="10"/>
      <x:c r="E16" s="10"/>
      <x:c r="F16" s="15"/>
      <x:c r="G16" s="15"/>
      <x:c r="H16" s="16"/>
      <x:c r="I16" s="16"/>
      <x:c r="J16" s="18"/>
      <x:c r="K16" s="19"/>
      <x:c r="L16" s="19"/>
      <x:c r="M16" s="22"/>
      <x:c r="N16" s="17"/>
      <x:c r="O16" s="17"/>
      <x:c r="P16" s="17"/>
      <x:c r="Q16" s="17"/>
      <x:c r="R16" s="17"/>
      <x:c r="S16" s="17"/>
      <x:c r="T16" s="17"/>
      <x:c r="U16" s="17"/>
      <x:c r="V16" s="17"/>
      <x:c r="W16" s="17"/>
      <x:c r="X16" s="17"/>
      <x:c r="Y16" s="17"/>
      <x:c r="Z16" s="13" t="str">
        <x:f>IF(COUNT(N16:Y16)=0,"",SUM(N16:Y16))</x:f>
      </x:c>
      <x:c r="AA16" s="20" t="str">
        <x:f>IF(OR($J16="",AND($Z16="",$I16="")),"",IF($Z16&lt;&gt;"",$Z16,$I16)*$J16)</x:f>
      </x:c>
      <x:c r="AB16" s="20" t="str">
        <x:f>IF(OR($K16="",AND($Z16="",$I16="")),"",IF($Z16&lt;&gt;"",$Z16,$I16)*$K16)</x:f>
      </x:c>
      <x:c r="AC16" s="21" t="str">
        <x:f>IF(OR($K16="",$L16="",$L16=0),"",($L16-$K16)/$L16)</x:f>
      </x:c>
      <x:c r="AD16" s="14"/>
      <x:c r="AE16" s="14"/>
      <x:c r="AF16" s="14"/>
      <x:c r="AG16" s="14"/>
      <x:c r="AH16" s="14"/>
      <x:c r="AI16" s="14"/>
      <x:c r="AJ16" s="14"/>
      <x:c r="AK16" s="14"/>
      <x:c r="AL16" s="14"/>
      <x:c r="AM16" s="14"/>
      <x:c r="AN16" s="14"/>
      <x:c r="AO16" s="14"/>
      <x:c r="AP16" s="14"/>
      <x:c r="AQ16" s="14"/>
      <x:c r="AR16" s="14"/>
      <x:c r="AS16" s="14"/>
      <x:c r="AT16" s="14"/>
      <x:c r="AU16" s="14"/>
      <x:c r="AV16" s="14"/>
      <x:c r="AW16" s="14"/>
      <x:c r="AX16" s="14"/>
      <x:c r="AY16" s="14"/>
      <x:c r="AZ16" s="14"/>
      <x:c r="BA16" s="10"/>
      <x:c r="BB16" s="10"/>
      <x:c r="BC16" s="10"/>
    </x:row>
    <x:row r="17">
      <x:c r="A17" s="10" t="str">
        <x:f>IF(COUNTA($B17:$M17)&gt;0,ROW()-4,"")</x:f>
      </x:c>
      <x:c r="B17" s="15"/>
      <x:c r="C17" s="10"/>
      <x:c r="D17" s="10"/>
      <x:c r="E17" s="10"/>
      <x:c r="F17" s="15"/>
      <x:c r="G17" s="15"/>
      <x:c r="H17" s="16"/>
      <x:c r="I17" s="16"/>
      <x:c r="J17" s="18"/>
      <x:c r="K17" s="19"/>
      <x:c r="L17" s="19"/>
      <x:c r="M17" s="22"/>
      <x:c r="N17" s="17"/>
      <x:c r="O17" s="17"/>
      <x:c r="P17" s="17"/>
      <x:c r="Q17" s="17"/>
      <x:c r="R17" s="17"/>
      <x:c r="S17" s="17"/>
      <x:c r="T17" s="17"/>
      <x:c r="U17" s="17"/>
      <x:c r="V17" s="17"/>
      <x:c r="W17" s="17"/>
      <x:c r="X17" s="17"/>
      <x:c r="Y17" s="17"/>
      <x:c r="Z17" s="13" t="str">
        <x:f>IF(COUNT(N17:Y17)=0,"",SUM(N17:Y17))</x:f>
      </x:c>
      <x:c r="AA17" s="20" t="str">
        <x:f>IF(OR($J17="",AND($Z17="",$I17="")),"",IF($Z17&lt;&gt;"",$Z17,$I17)*$J17)</x:f>
      </x:c>
      <x:c r="AB17" s="20" t="str">
        <x:f>IF(OR($K17="",AND($Z17="",$I17="")),"",IF($Z17&lt;&gt;"",$Z17,$I17)*$K17)</x:f>
      </x:c>
      <x:c r="AC17" s="21" t="str">
        <x:f>IF(OR($K17="",$L17="",$L17=0),"",($L17-$K17)/$L17)</x:f>
      </x:c>
      <x:c r="AD17" s="14"/>
      <x:c r="AE17" s="14"/>
      <x:c r="AF17" s="14"/>
      <x:c r="AG17" s="14"/>
      <x:c r="AH17" s="14"/>
      <x:c r="AI17" s="14"/>
      <x:c r="AJ17" s="14"/>
      <x:c r="AK17" s="14"/>
      <x:c r="AL17" s="14"/>
      <x:c r="AM17" s="14"/>
      <x:c r="AN17" s="14"/>
      <x:c r="AO17" s="14"/>
      <x:c r="AP17" s="14"/>
      <x:c r="AQ17" s="14"/>
      <x:c r="AR17" s="14"/>
      <x:c r="AS17" s="14"/>
      <x:c r="AT17" s="14"/>
      <x:c r="AU17" s="14"/>
      <x:c r="AV17" s="14"/>
      <x:c r="AW17" s="14"/>
      <x:c r="AX17" s="14"/>
      <x:c r="AY17" s="14"/>
      <x:c r="AZ17" s="14"/>
      <x:c r="BA17" s="10"/>
      <x:c r="BB17" s="10"/>
      <x:c r="BC17" s="10"/>
    </x:row>
    <x:row r="18">
      <x:c r="A18" s="10" t="str">
        <x:f>IF(COUNTA($B18:$M18)&gt;0,ROW()-4,"")</x:f>
      </x:c>
      <x:c r="B18" s="15"/>
      <x:c r="C18" s="10"/>
      <x:c r="D18" s="10"/>
      <x:c r="E18" s="10"/>
      <x:c r="F18" s="15"/>
      <x:c r="G18" s="15"/>
      <x:c r="H18" s="16"/>
      <x:c r="I18" s="16"/>
      <x:c r="J18" s="18"/>
      <x:c r="K18" s="19"/>
      <x:c r="L18" s="19"/>
      <x:c r="M18" s="22"/>
      <x:c r="N18" s="17"/>
      <x:c r="O18" s="17"/>
      <x:c r="P18" s="17"/>
      <x:c r="Q18" s="17"/>
      <x:c r="R18" s="17"/>
      <x:c r="S18" s="17"/>
      <x:c r="T18" s="17"/>
      <x:c r="U18" s="17"/>
      <x:c r="V18" s="17"/>
      <x:c r="W18" s="17"/>
      <x:c r="X18" s="17"/>
      <x:c r="Y18" s="17"/>
      <x:c r="Z18" s="13" t="str">
        <x:f>IF(COUNT(N18:Y18)=0,"",SUM(N18:Y18))</x:f>
      </x:c>
      <x:c r="AA18" s="20" t="str">
        <x:f>IF(OR($J18="",AND($Z18="",$I18="")),"",IF($Z18&lt;&gt;"",$Z18,$I18)*$J18)</x:f>
      </x:c>
      <x:c r="AB18" s="20" t="str">
        <x:f>IF(OR($K18="",AND($Z18="",$I18="")),"",IF($Z18&lt;&gt;"",$Z18,$I18)*$K18)</x:f>
      </x:c>
      <x:c r="AC18" s="21" t="str">
        <x:f>IF(OR($K18="",$L18="",$L18=0),"",($L18-$K18)/$L18)</x:f>
      </x:c>
      <x:c r="AD18" s="14"/>
      <x:c r="AE18" s="14"/>
      <x:c r="AF18" s="14"/>
      <x:c r="AG18" s="14"/>
      <x:c r="AH18" s="14"/>
      <x:c r="AI18" s="14"/>
      <x:c r="AJ18" s="14"/>
      <x:c r="AK18" s="14"/>
      <x:c r="AL18" s="14"/>
      <x:c r="AM18" s="14"/>
      <x:c r="AN18" s="14"/>
      <x:c r="AO18" s="14"/>
      <x:c r="AP18" s="14"/>
      <x:c r="AQ18" s="14"/>
      <x:c r="AR18" s="14"/>
      <x:c r="AS18" s="14"/>
      <x:c r="AT18" s="14"/>
      <x:c r="AU18" s="14"/>
      <x:c r="AV18" s="14"/>
      <x:c r="AW18" s="14"/>
      <x:c r="AX18" s="14"/>
      <x:c r="AY18" s="14"/>
      <x:c r="AZ18" s="14"/>
      <x:c r="BA18" s="10"/>
      <x:c r="BB18" s="10"/>
      <x:c r="BC18" s="10"/>
    </x:row>
    <x:row r="19">
      <x:c r="A19" s="10" t="str">
        <x:f>IF(COUNTA($B19:$M19)&gt;0,ROW()-4,"")</x:f>
      </x:c>
      <x:c r="B19" s="15"/>
      <x:c r="C19" s="10"/>
      <x:c r="D19" s="10"/>
      <x:c r="E19" s="10"/>
      <x:c r="F19" s="15"/>
      <x:c r="G19" s="15"/>
      <x:c r="H19" s="16"/>
      <x:c r="I19" s="16"/>
      <x:c r="J19" s="18"/>
      <x:c r="K19" s="19"/>
      <x:c r="L19" s="19"/>
      <x:c r="M19" s="22"/>
      <x:c r="N19" s="17"/>
      <x:c r="O19" s="17"/>
      <x:c r="P19" s="17"/>
      <x:c r="Q19" s="17"/>
      <x:c r="R19" s="17"/>
      <x:c r="S19" s="17"/>
      <x:c r="T19" s="17"/>
      <x:c r="U19" s="17"/>
      <x:c r="V19" s="17"/>
      <x:c r="W19" s="17"/>
      <x:c r="X19" s="17"/>
      <x:c r="Y19" s="17"/>
      <x:c r="Z19" s="13" t="str">
        <x:f>IF(COUNT(N19:Y19)=0,"",SUM(N19:Y19))</x:f>
      </x:c>
      <x:c r="AA19" s="20" t="str">
        <x:f>IF(OR($J19="",AND($Z19="",$I19="")),"",IF($Z19&lt;&gt;"",$Z19,$I19)*$J19)</x:f>
      </x:c>
      <x:c r="AB19" s="20" t="str">
        <x:f>IF(OR($K19="",AND($Z19="",$I19="")),"",IF($Z19&lt;&gt;"",$Z19,$I19)*$K19)</x:f>
      </x:c>
      <x:c r="AC19" s="21" t="str">
        <x:f>IF(OR($K19="",$L19="",$L19=0),"",($L19-$K19)/$L19)</x:f>
      </x:c>
      <x:c r="AD19" s="14"/>
      <x:c r="AE19" s="14"/>
      <x:c r="AF19" s="14"/>
      <x:c r="AG19" s="14"/>
      <x:c r="AH19" s="14"/>
      <x:c r="AI19" s="14"/>
      <x:c r="AJ19" s="14"/>
      <x:c r="AK19" s="14"/>
      <x:c r="AL19" s="14"/>
      <x:c r="AM19" s="14"/>
      <x:c r="AN19" s="14"/>
      <x:c r="AO19" s="14"/>
      <x:c r="AP19" s="14"/>
      <x:c r="AQ19" s="14"/>
      <x:c r="AR19" s="14"/>
      <x:c r="AS19" s="14"/>
      <x:c r="AT19" s="14"/>
      <x:c r="AU19" s="14"/>
      <x:c r="AV19" s="14"/>
      <x:c r="AW19" s="14"/>
      <x:c r="AX19" s="14"/>
      <x:c r="AY19" s="14"/>
      <x:c r="AZ19" s="14"/>
      <x:c r="BA19" s="10"/>
      <x:c r="BB19" s="10"/>
      <x:c r="BC19" s="10"/>
    </x:row>
    <x:row r="20">
      <x:c r="A20" s="10" t="str">
        <x:f>IF(COUNTA($B20:$M20)&gt;0,ROW()-4,"")</x:f>
      </x:c>
      <x:c r="B20" s="15"/>
      <x:c r="C20" s="10"/>
      <x:c r="D20" s="10"/>
      <x:c r="E20" s="10"/>
      <x:c r="F20" s="15"/>
      <x:c r="G20" s="15"/>
      <x:c r="H20" s="16"/>
      <x:c r="I20" s="16"/>
      <x:c r="J20" s="18"/>
      <x:c r="K20" s="19"/>
      <x:c r="L20" s="19"/>
      <x:c r="M20" s="22"/>
      <x:c r="N20" s="17"/>
      <x:c r="O20" s="17"/>
      <x:c r="P20" s="17"/>
      <x:c r="Q20" s="17"/>
      <x:c r="R20" s="17"/>
      <x:c r="S20" s="17"/>
      <x:c r="T20" s="17"/>
      <x:c r="U20" s="17"/>
      <x:c r="V20" s="17"/>
      <x:c r="W20" s="17"/>
      <x:c r="X20" s="17"/>
      <x:c r="Y20" s="17"/>
      <x:c r="Z20" s="13" t="str">
        <x:f>IF(COUNT(N20:Y20)=0,"",SUM(N20:Y20))</x:f>
      </x:c>
      <x:c r="AA20" s="20" t="str">
        <x:f>IF(OR($J20="",AND($Z20="",$I20="")),"",IF($Z20&lt;&gt;"",$Z20,$I20)*$J20)</x:f>
      </x:c>
      <x:c r="AB20" s="20" t="str">
        <x:f>IF(OR($K20="",AND($Z20="",$I20="")),"",IF($Z20&lt;&gt;"",$Z20,$I20)*$K20)</x:f>
      </x:c>
      <x:c r="AC20" s="21" t="str">
        <x:f>IF(OR($K20="",$L20="",$L20=0),"",($L20-$K20)/$L20)</x:f>
      </x:c>
      <x:c r="AD20" s="14"/>
      <x:c r="AE20" s="14"/>
      <x:c r="AF20" s="14"/>
      <x:c r="AG20" s="14"/>
      <x:c r="AH20" s="14"/>
      <x:c r="AI20" s="14"/>
      <x:c r="AJ20" s="14"/>
      <x:c r="AK20" s="14"/>
      <x:c r="AL20" s="14"/>
      <x:c r="AM20" s="14"/>
      <x:c r="AN20" s="14"/>
      <x:c r="AO20" s="14"/>
      <x:c r="AP20" s="14"/>
      <x:c r="AQ20" s="14"/>
      <x:c r="AR20" s="14"/>
      <x:c r="AS20" s="14"/>
      <x:c r="AT20" s="14"/>
      <x:c r="AU20" s="14"/>
      <x:c r="AV20" s="14"/>
      <x:c r="AW20" s="14"/>
      <x:c r="AX20" s="14"/>
      <x:c r="AY20" s="14"/>
      <x:c r="AZ20" s="14"/>
      <x:c r="BA20" s="10"/>
      <x:c r="BB20" s="10"/>
      <x:c r="BC20" s="10"/>
    </x:row>
    <x:row r="21">
      <x:c r="A21" s="10" t="str">
        <x:f>IF(COUNTA($B21:$M21)&gt;0,ROW()-4,"")</x:f>
      </x:c>
      <x:c r="B21" s="15"/>
      <x:c r="C21" s="10"/>
      <x:c r="D21" s="10"/>
      <x:c r="E21" s="10"/>
      <x:c r="F21" s="15"/>
      <x:c r="G21" s="15"/>
      <x:c r="H21" s="16"/>
      <x:c r="I21" s="16"/>
      <x:c r="J21" s="18"/>
      <x:c r="K21" s="19"/>
      <x:c r="L21" s="19"/>
      <x:c r="M21" s="22"/>
      <x:c r="N21" s="17"/>
      <x:c r="O21" s="17"/>
      <x:c r="P21" s="17"/>
      <x:c r="Q21" s="17"/>
      <x:c r="R21" s="17"/>
      <x:c r="S21" s="17"/>
      <x:c r="T21" s="17"/>
      <x:c r="U21" s="17"/>
      <x:c r="V21" s="17"/>
      <x:c r="W21" s="17"/>
      <x:c r="X21" s="17"/>
      <x:c r="Y21" s="17"/>
      <x:c r="Z21" s="13" t="str">
        <x:f>IF(COUNT(N21:Y21)=0,"",SUM(N21:Y21))</x:f>
      </x:c>
      <x:c r="AA21" s="20" t="str">
        <x:f>IF(OR($J21="",AND($Z21="",$I21="")),"",IF($Z21&lt;&gt;"",$Z21,$I21)*$J21)</x:f>
      </x:c>
      <x:c r="AB21" s="20" t="str">
        <x:f>IF(OR($K21="",AND($Z21="",$I21="")),"",IF($Z21&lt;&gt;"",$Z21,$I21)*$K21)</x:f>
      </x:c>
      <x:c r="AC21" s="21" t="str">
        <x:f>IF(OR($K21="",$L21="",$L21=0),"",($L21-$K21)/$L21)</x:f>
      </x:c>
      <x:c r="AD21" s="14"/>
      <x:c r="AE21" s="14"/>
      <x:c r="AF21" s="14"/>
      <x:c r="AG21" s="14"/>
      <x:c r="AH21" s="14"/>
      <x:c r="AI21" s="14"/>
      <x:c r="AJ21" s="14"/>
      <x:c r="AK21" s="14"/>
      <x:c r="AL21" s="14"/>
      <x:c r="AM21" s="14"/>
      <x:c r="AN21" s="14"/>
      <x:c r="AO21" s="14"/>
      <x:c r="AP21" s="14"/>
      <x:c r="AQ21" s="14"/>
      <x:c r="AR21" s="14"/>
      <x:c r="AS21" s="14"/>
      <x:c r="AT21" s="14"/>
      <x:c r="AU21" s="14"/>
      <x:c r="AV21" s="14"/>
      <x:c r="AW21" s="14"/>
      <x:c r="AX21" s="14"/>
      <x:c r="AY21" s="14"/>
      <x:c r="AZ21" s="14"/>
      <x:c r="BA21" s="10"/>
      <x:c r="BB21" s="10"/>
      <x:c r="BC21" s="10"/>
    </x:row>
    <x:row r="22">
      <x:c r="A22" s="10" t="str">
        <x:f>IF(COUNTA($B22:$M22)&gt;0,ROW()-4,"")</x:f>
      </x:c>
      <x:c r="B22" s="15"/>
      <x:c r="C22" s="10"/>
      <x:c r="D22" s="10"/>
      <x:c r="E22" s="10"/>
      <x:c r="F22" s="15"/>
      <x:c r="G22" s="15"/>
      <x:c r="H22" s="16"/>
      <x:c r="I22" s="16"/>
      <x:c r="J22" s="18"/>
      <x:c r="K22" s="19"/>
      <x:c r="L22" s="19"/>
      <x:c r="M22" s="22"/>
      <x:c r="N22" s="17"/>
      <x:c r="O22" s="17"/>
      <x:c r="P22" s="17"/>
      <x:c r="Q22" s="17"/>
      <x:c r="R22" s="17"/>
      <x:c r="S22" s="17"/>
      <x:c r="T22" s="17"/>
      <x:c r="U22" s="17"/>
      <x:c r="V22" s="17"/>
      <x:c r="W22" s="17"/>
      <x:c r="X22" s="17"/>
      <x:c r="Y22" s="17"/>
      <x:c r="Z22" s="13" t="str">
        <x:f>IF(COUNT(N22:Y22)=0,"",SUM(N22:Y22))</x:f>
      </x:c>
      <x:c r="AA22" s="20" t="str">
        <x:f>IF(OR($J22="",AND($Z22="",$I22="")),"",IF($Z22&lt;&gt;"",$Z22,$I22)*$J22)</x:f>
      </x:c>
      <x:c r="AB22" s="20" t="str">
        <x:f>IF(OR($K22="",AND($Z22="",$I22="")),"",IF($Z22&lt;&gt;"",$Z22,$I22)*$K22)</x:f>
      </x:c>
      <x:c r="AC22" s="21" t="str">
        <x:f>IF(OR($K22="",$L22="",$L22=0),"",($L22-$K22)/$L22)</x:f>
      </x:c>
      <x:c r="AD22" s="14"/>
      <x:c r="AE22" s="14"/>
      <x:c r="AF22" s="14"/>
      <x:c r="AG22" s="14"/>
      <x:c r="AH22" s="14"/>
      <x:c r="AI22" s="14"/>
      <x:c r="AJ22" s="14"/>
      <x:c r="AK22" s="14"/>
      <x:c r="AL22" s="14"/>
      <x:c r="AM22" s="14"/>
      <x:c r="AN22" s="14"/>
      <x:c r="AO22" s="14"/>
      <x:c r="AP22" s="14"/>
      <x:c r="AQ22" s="14"/>
      <x:c r="AR22" s="14"/>
      <x:c r="AS22" s="14"/>
      <x:c r="AT22" s="14"/>
      <x:c r="AU22" s="14"/>
      <x:c r="AV22" s="14"/>
      <x:c r="AW22" s="14"/>
      <x:c r="AX22" s="14"/>
      <x:c r="AY22" s="14"/>
      <x:c r="AZ22" s="14"/>
      <x:c r="BA22" s="10"/>
      <x:c r="BB22" s="10"/>
      <x:c r="BC22" s="10"/>
    </x:row>
    <x:row r="23">
      <x:c r="A23" s="10" t="str">
        <x:f>IF(COUNTA($B23:$M23)&gt;0,ROW()-4,"")</x:f>
      </x:c>
      <x:c r="B23" s="15"/>
      <x:c r="C23" s="10"/>
      <x:c r="D23" s="10"/>
      <x:c r="E23" s="10"/>
      <x:c r="F23" s="15"/>
      <x:c r="G23" s="15"/>
      <x:c r="H23" s="16"/>
      <x:c r="I23" s="16"/>
      <x:c r="J23" s="18"/>
      <x:c r="K23" s="19"/>
      <x:c r="L23" s="19"/>
      <x:c r="M23" s="22"/>
      <x:c r="N23" s="17"/>
      <x:c r="O23" s="17"/>
      <x:c r="P23" s="17"/>
      <x:c r="Q23" s="17"/>
      <x:c r="R23" s="17"/>
      <x:c r="S23" s="17"/>
      <x:c r="T23" s="17"/>
      <x:c r="U23" s="17"/>
      <x:c r="V23" s="17"/>
      <x:c r="W23" s="17"/>
      <x:c r="X23" s="17"/>
      <x:c r="Y23" s="17"/>
      <x:c r="Z23" s="13" t="str">
        <x:f>IF(COUNT(N23:Y23)=0,"",SUM(N23:Y23))</x:f>
      </x:c>
      <x:c r="AA23" s="20" t="str">
        <x:f>IF(OR($J23="",AND($Z23="",$I23="")),"",IF($Z23&lt;&gt;"",$Z23,$I23)*$J23)</x:f>
      </x:c>
      <x:c r="AB23" s="20" t="str">
        <x:f>IF(OR($K23="",AND($Z23="",$I23="")),"",IF($Z23&lt;&gt;"",$Z23,$I23)*$K23)</x:f>
      </x:c>
      <x:c r="AC23" s="21" t="str">
        <x:f>IF(OR($K23="",$L23="",$L23=0),"",($L23-$K23)/$L23)</x:f>
      </x:c>
      <x:c r="AD23" s="14"/>
      <x:c r="AE23" s="14"/>
      <x:c r="AF23" s="14"/>
      <x:c r="AG23" s="14"/>
      <x:c r="AH23" s="14"/>
      <x:c r="AI23" s="14"/>
      <x:c r="AJ23" s="14"/>
      <x:c r="AK23" s="14"/>
      <x:c r="AL23" s="14"/>
      <x:c r="AM23" s="14"/>
      <x:c r="AN23" s="14"/>
      <x:c r="AO23" s="14"/>
      <x:c r="AP23" s="14"/>
      <x:c r="AQ23" s="14"/>
      <x:c r="AR23" s="14"/>
      <x:c r="AS23" s="14"/>
      <x:c r="AT23" s="14"/>
      <x:c r="AU23" s="14"/>
      <x:c r="AV23" s="14"/>
      <x:c r="AW23" s="14"/>
      <x:c r="AX23" s="14"/>
      <x:c r="AY23" s="14"/>
      <x:c r="AZ23" s="14"/>
      <x:c r="BA23" s="10"/>
      <x:c r="BB23" s="10"/>
      <x:c r="BC23" s="10"/>
    </x:row>
    <x:row r="24">
      <x:c r="A24" s="10" t="str">
        <x:f>IF(COUNTA($B24:$M24)&gt;0,ROW()-4,"")</x:f>
      </x:c>
      <x:c r="B24" s="15"/>
      <x:c r="C24" s="10"/>
      <x:c r="D24" s="10"/>
      <x:c r="E24" s="10"/>
      <x:c r="F24" s="15"/>
      <x:c r="G24" s="15"/>
      <x:c r="H24" s="16"/>
      <x:c r="I24" s="16"/>
      <x:c r="J24" s="18"/>
      <x:c r="K24" s="19"/>
      <x:c r="L24" s="19"/>
      <x:c r="M24" s="22"/>
      <x:c r="N24" s="17"/>
      <x:c r="O24" s="17"/>
      <x:c r="P24" s="17"/>
      <x:c r="Q24" s="17"/>
      <x:c r="R24" s="17"/>
      <x:c r="S24" s="17"/>
      <x:c r="T24" s="17"/>
      <x:c r="U24" s="17"/>
      <x:c r="V24" s="17"/>
      <x:c r="W24" s="17"/>
      <x:c r="X24" s="17"/>
      <x:c r="Y24" s="17"/>
      <x:c r="Z24" s="13" t="str">
        <x:f>IF(COUNT(N24:Y24)=0,"",SUM(N24:Y24))</x:f>
      </x:c>
      <x:c r="AA24" s="20" t="str">
        <x:f>IF(OR($J24="",AND($Z24="",$I24="")),"",IF($Z24&lt;&gt;"",$Z24,$I24)*$J24)</x:f>
      </x:c>
      <x:c r="AB24" s="20" t="str">
        <x:f>IF(OR($K24="",AND($Z24="",$I24="")),"",IF($Z24&lt;&gt;"",$Z24,$I24)*$K24)</x:f>
      </x:c>
      <x:c r="AC24" s="21" t="str">
        <x:f>IF(OR($K24="",$L24="",$L24=0),"",($L24-$K24)/$L24)</x:f>
      </x:c>
      <x:c r="AD24" s="14"/>
      <x:c r="AE24" s="14"/>
      <x:c r="AF24" s="14"/>
      <x:c r="AG24" s="14"/>
      <x:c r="AH24" s="14"/>
      <x:c r="AI24" s="14"/>
      <x:c r="AJ24" s="14"/>
      <x:c r="AK24" s="14"/>
      <x:c r="AL24" s="14"/>
      <x:c r="AM24" s="14"/>
      <x:c r="AN24" s="14"/>
      <x:c r="AO24" s="14"/>
      <x:c r="AP24" s="14"/>
      <x:c r="AQ24" s="14"/>
      <x:c r="AR24" s="14"/>
      <x:c r="AS24" s="14"/>
      <x:c r="AT24" s="14"/>
      <x:c r="AU24" s="14"/>
      <x:c r="AV24" s="14"/>
      <x:c r="AW24" s="14"/>
      <x:c r="AX24" s="14"/>
      <x:c r="AY24" s="14"/>
      <x:c r="AZ24" s="14"/>
      <x:c r="BA24" s="10"/>
      <x:c r="BB24" s="10"/>
      <x:c r="BC24" s="10"/>
    </x:row>
    <x:row r="25">
      <x:c r="A25" s="10" t="str">
        <x:f>IF(COUNTA($B25:$M25)&gt;0,ROW()-4,"")</x:f>
      </x:c>
      <x:c r="B25" s="15"/>
      <x:c r="C25" s="10"/>
      <x:c r="D25" s="10"/>
      <x:c r="E25" s="10"/>
      <x:c r="F25" s="15"/>
      <x:c r="G25" s="15"/>
      <x:c r="H25" s="16"/>
      <x:c r="I25" s="16"/>
      <x:c r="J25" s="18"/>
      <x:c r="K25" s="19"/>
      <x:c r="L25" s="19"/>
      <x:c r="M25" s="22"/>
      <x:c r="N25" s="17"/>
      <x:c r="O25" s="17"/>
      <x:c r="P25" s="17"/>
      <x:c r="Q25" s="17"/>
      <x:c r="R25" s="17"/>
      <x:c r="S25" s="17"/>
      <x:c r="T25" s="17"/>
      <x:c r="U25" s="17"/>
      <x:c r="V25" s="17"/>
      <x:c r="W25" s="17"/>
      <x:c r="X25" s="17"/>
      <x:c r="Y25" s="17"/>
      <x:c r="Z25" s="13" t="str">
        <x:f>IF(COUNT(N25:Y25)=0,"",SUM(N25:Y25))</x:f>
      </x:c>
      <x:c r="AA25" s="20" t="str">
        <x:f>IF(OR($J25="",AND($Z25="",$I25="")),"",IF($Z25&lt;&gt;"",$Z25,$I25)*$J25)</x:f>
      </x:c>
      <x:c r="AB25" s="20" t="str">
        <x:f>IF(OR($K25="",AND($Z25="",$I25="")),"",IF($Z25&lt;&gt;"",$Z25,$I25)*$K25)</x:f>
      </x:c>
      <x:c r="AC25" s="21" t="str">
        <x:f>IF(OR($K25="",$L25="",$L25=0),"",($L25-$K25)/$L25)</x:f>
      </x:c>
      <x:c r="AD25" s="14"/>
      <x:c r="AE25" s="14"/>
      <x:c r="AF25" s="14"/>
      <x:c r="AG25" s="14"/>
      <x:c r="AH25" s="14"/>
      <x:c r="AI25" s="14"/>
      <x:c r="AJ25" s="14"/>
      <x:c r="AK25" s="14"/>
      <x:c r="AL25" s="14"/>
      <x:c r="AM25" s="14"/>
      <x:c r="AN25" s="14"/>
      <x:c r="AO25" s="14"/>
      <x:c r="AP25" s="14"/>
      <x:c r="AQ25" s="14"/>
      <x:c r="AR25" s="14"/>
      <x:c r="AS25" s="14"/>
      <x:c r="AT25" s="14"/>
      <x:c r="AU25" s="14"/>
      <x:c r="AV25" s="14"/>
      <x:c r="AW25" s="14"/>
      <x:c r="AX25" s="14"/>
      <x:c r="AY25" s="14"/>
      <x:c r="AZ25" s="14"/>
      <x:c r="BA25" s="10"/>
      <x:c r="BB25" s="10"/>
      <x:c r="BC25" s="10"/>
    </x:row>
    <x:row r="26">
      <x:c r="A26" s="10" t="str">
        <x:f>IF(COUNTA($B26:$M26)&gt;0,ROW()-4,"")</x:f>
      </x:c>
      <x:c r="B26" s="15"/>
      <x:c r="C26" s="10"/>
      <x:c r="D26" s="10"/>
      <x:c r="E26" s="10"/>
      <x:c r="F26" s="15"/>
      <x:c r="G26" s="15"/>
      <x:c r="H26" s="16"/>
      <x:c r="I26" s="16"/>
      <x:c r="J26" s="18"/>
      <x:c r="K26" s="19"/>
      <x:c r="L26" s="19"/>
      <x:c r="M26" s="22"/>
      <x:c r="N26" s="17"/>
      <x:c r="O26" s="17"/>
      <x:c r="P26" s="17"/>
      <x:c r="Q26" s="17"/>
      <x:c r="R26" s="17"/>
      <x:c r="S26" s="17"/>
      <x:c r="T26" s="17"/>
      <x:c r="U26" s="17"/>
      <x:c r="V26" s="17"/>
      <x:c r="W26" s="17"/>
      <x:c r="X26" s="17"/>
      <x:c r="Y26" s="17"/>
      <x:c r="Z26" s="13" t="str">
        <x:f>IF(COUNT(N26:Y26)=0,"",SUM(N26:Y26))</x:f>
      </x:c>
      <x:c r="AA26" s="20" t="str">
        <x:f>IF(OR($J26="",AND($Z26="",$I26="")),"",IF($Z26&lt;&gt;"",$Z26,$I26)*$J26)</x:f>
      </x:c>
      <x:c r="AB26" s="20" t="str">
        <x:f>IF(OR($K26="",AND($Z26="",$I26="")),"",IF($Z26&lt;&gt;"",$Z26,$I26)*$K26)</x:f>
      </x:c>
      <x:c r="AC26" s="21" t="str">
        <x:f>IF(OR($K26="",$L26="",$L26=0),"",($L26-$K26)/$L26)</x:f>
      </x:c>
      <x:c r="AD26" s="14"/>
      <x:c r="AE26" s="14"/>
      <x:c r="AF26" s="14"/>
      <x:c r="AG26" s="14"/>
      <x:c r="AH26" s="14"/>
      <x:c r="AI26" s="14"/>
      <x:c r="AJ26" s="14"/>
      <x:c r="AK26" s="14"/>
      <x:c r="AL26" s="14"/>
      <x:c r="AM26" s="14"/>
      <x:c r="AN26" s="14"/>
      <x:c r="AO26" s="14"/>
      <x:c r="AP26" s="14"/>
      <x:c r="AQ26" s="14"/>
      <x:c r="AR26" s="14"/>
      <x:c r="AS26" s="14"/>
      <x:c r="AT26" s="14"/>
      <x:c r="AU26" s="14"/>
      <x:c r="AV26" s="14"/>
      <x:c r="AW26" s="14"/>
      <x:c r="AX26" s="14"/>
      <x:c r="AY26" s="14"/>
      <x:c r="AZ26" s="14"/>
      <x:c r="BA26" s="10"/>
      <x:c r="BB26" s="10"/>
      <x:c r="BC26" s="10"/>
    </x:row>
    <x:row r="27">
      <x:c r="A27" s="10" t="str">
        <x:f>IF(COUNTA($B27:$M27)&gt;0,ROW()-4,"")</x:f>
      </x:c>
      <x:c r="B27" s="15"/>
      <x:c r="C27" s="10"/>
      <x:c r="D27" s="10"/>
      <x:c r="E27" s="10"/>
      <x:c r="F27" s="15"/>
      <x:c r="G27" s="15"/>
      <x:c r="H27" s="16"/>
      <x:c r="I27" s="16"/>
      <x:c r="J27" s="18"/>
      <x:c r="K27" s="19"/>
      <x:c r="L27" s="19"/>
      <x:c r="M27" s="22"/>
      <x:c r="N27" s="17"/>
      <x:c r="O27" s="17"/>
      <x:c r="P27" s="17"/>
      <x:c r="Q27" s="17"/>
      <x:c r="R27" s="17"/>
      <x:c r="S27" s="17"/>
      <x:c r="T27" s="17"/>
      <x:c r="U27" s="17"/>
      <x:c r="V27" s="17"/>
      <x:c r="W27" s="17"/>
      <x:c r="X27" s="17"/>
      <x:c r="Y27" s="17"/>
      <x:c r="Z27" s="13" t="str">
        <x:f>IF(COUNT(N27:Y27)=0,"",SUM(N27:Y27))</x:f>
      </x:c>
      <x:c r="AA27" s="20" t="str">
        <x:f>IF(OR($J27="",AND($Z27="",$I27="")),"",IF($Z27&lt;&gt;"",$Z27,$I27)*$J27)</x:f>
      </x:c>
      <x:c r="AB27" s="20" t="str">
        <x:f>IF(OR($K27="",AND($Z27="",$I27="")),"",IF($Z27&lt;&gt;"",$Z27,$I27)*$K27)</x:f>
      </x:c>
      <x:c r="AC27" s="21" t="str">
        <x:f>IF(OR($K27="",$L27="",$L27=0),"",($L27-$K27)/$L27)</x:f>
      </x:c>
      <x:c r="AD27" s="14"/>
      <x:c r="AE27" s="14"/>
      <x:c r="AF27" s="14"/>
      <x:c r="AG27" s="14"/>
      <x:c r="AH27" s="14"/>
      <x:c r="AI27" s="14"/>
      <x:c r="AJ27" s="14"/>
      <x:c r="AK27" s="14"/>
      <x:c r="AL27" s="14"/>
      <x:c r="AM27" s="14"/>
      <x:c r="AN27" s="14"/>
      <x:c r="AO27" s="14"/>
      <x:c r="AP27" s="14"/>
      <x:c r="AQ27" s="14"/>
      <x:c r="AR27" s="14"/>
      <x:c r="AS27" s="14"/>
      <x:c r="AT27" s="14"/>
      <x:c r="AU27" s="14"/>
      <x:c r="AV27" s="14"/>
      <x:c r="AW27" s="14"/>
      <x:c r="AX27" s="14"/>
      <x:c r="AY27" s="14"/>
      <x:c r="AZ27" s="14"/>
      <x:c r="BA27" s="10"/>
      <x:c r="BB27" s="10"/>
      <x:c r="BC27" s="10"/>
    </x:row>
    <x:row r="28">
      <x:c r="A28" s="10" t="str">
        <x:f>IF(COUNTA($B28:$M28)&gt;0,ROW()-4,"")</x:f>
      </x:c>
      <x:c r="B28" s="15"/>
      <x:c r="C28" s="10"/>
      <x:c r="D28" s="10"/>
      <x:c r="E28" s="10"/>
      <x:c r="F28" s="15"/>
      <x:c r="G28" s="15"/>
      <x:c r="H28" s="16"/>
      <x:c r="I28" s="16"/>
      <x:c r="J28" s="18"/>
      <x:c r="K28" s="19"/>
      <x:c r="L28" s="19"/>
      <x:c r="M28" s="22"/>
      <x:c r="N28" s="17"/>
      <x:c r="O28" s="17"/>
      <x:c r="P28" s="17"/>
      <x:c r="Q28" s="17"/>
      <x:c r="R28" s="17"/>
      <x:c r="S28" s="17"/>
      <x:c r="T28" s="17"/>
      <x:c r="U28" s="17"/>
      <x:c r="V28" s="17"/>
      <x:c r="W28" s="17"/>
      <x:c r="X28" s="17"/>
      <x:c r="Y28" s="17"/>
      <x:c r="Z28" s="13" t="str">
        <x:f>IF(COUNT(N28:Y28)=0,"",SUM(N28:Y28))</x:f>
      </x:c>
      <x:c r="AA28" s="20" t="str">
        <x:f>IF(OR($J28="",AND($Z28="",$I28="")),"",IF($Z28&lt;&gt;"",$Z28,$I28)*$J28)</x:f>
      </x:c>
      <x:c r="AB28" s="20" t="str">
        <x:f>IF(OR($K28="",AND($Z28="",$I28="")),"",IF($Z28&lt;&gt;"",$Z28,$I28)*$K28)</x:f>
      </x:c>
      <x:c r="AC28" s="21" t="str">
        <x:f>IF(OR($K28="",$L28="",$L28=0),"",($L28-$K28)/$L28)</x:f>
      </x:c>
      <x:c r="AD28" s="14"/>
      <x:c r="AE28" s="14"/>
      <x:c r="AF28" s="14"/>
      <x:c r="AG28" s="14"/>
      <x:c r="AH28" s="14"/>
      <x:c r="AI28" s="14"/>
      <x:c r="AJ28" s="14"/>
      <x:c r="AK28" s="14"/>
      <x:c r="AL28" s="14"/>
      <x:c r="AM28" s="14"/>
      <x:c r="AN28" s="14"/>
      <x:c r="AO28" s="14"/>
      <x:c r="AP28" s="14"/>
      <x:c r="AQ28" s="14"/>
      <x:c r="AR28" s="14"/>
      <x:c r="AS28" s="14"/>
      <x:c r="AT28" s="14"/>
      <x:c r="AU28" s="14"/>
      <x:c r="AV28" s="14"/>
      <x:c r="AW28" s="14"/>
      <x:c r="AX28" s="14"/>
      <x:c r="AY28" s="14"/>
      <x:c r="AZ28" s="14"/>
      <x:c r="BA28" s="10"/>
      <x:c r="BB28" s="10"/>
      <x:c r="BC28" s="10"/>
    </x:row>
    <x:row r="29">
      <x:c r="A29" s="10" t="str">
        <x:f>IF(COUNTA($B29:$M29)&gt;0,ROW()-4,"")</x:f>
      </x:c>
      <x:c r="B29" s="15"/>
      <x:c r="C29" s="10"/>
      <x:c r="D29" s="10"/>
      <x:c r="E29" s="10"/>
      <x:c r="F29" s="15"/>
      <x:c r="G29" s="15"/>
      <x:c r="H29" s="16"/>
      <x:c r="I29" s="16"/>
      <x:c r="J29" s="18"/>
      <x:c r="K29" s="19"/>
      <x:c r="L29" s="19"/>
      <x:c r="M29" s="22"/>
      <x:c r="N29" s="17"/>
      <x:c r="O29" s="17"/>
      <x:c r="P29" s="17"/>
      <x:c r="Q29" s="17"/>
      <x:c r="R29" s="17"/>
      <x:c r="S29" s="17"/>
      <x:c r="T29" s="17"/>
      <x:c r="U29" s="17"/>
      <x:c r="V29" s="17"/>
      <x:c r="W29" s="17"/>
      <x:c r="X29" s="17"/>
      <x:c r="Y29" s="17"/>
      <x:c r="Z29" s="13" t="str">
        <x:f>IF(COUNT(N29:Y29)=0,"",SUM(N29:Y29))</x:f>
      </x:c>
      <x:c r="AA29" s="20" t="str">
        <x:f>IF(OR($J29="",AND($Z29="",$I29="")),"",IF($Z29&lt;&gt;"",$Z29,$I29)*$J29)</x:f>
      </x:c>
      <x:c r="AB29" s="20" t="str">
        <x:f>IF(OR($K29="",AND($Z29="",$I29="")),"",IF($Z29&lt;&gt;"",$Z29,$I29)*$K29)</x:f>
      </x:c>
      <x:c r="AC29" s="21" t="str">
        <x:f>IF(OR($K29="",$L29="",$L29=0),"",($L29-$K29)/$L29)</x:f>
      </x:c>
      <x:c r="AD29" s="14"/>
      <x:c r="AE29" s="14"/>
      <x:c r="AF29" s="14"/>
      <x:c r="AG29" s="14"/>
      <x:c r="AH29" s="14"/>
      <x:c r="AI29" s="14"/>
      <x:c r="AJ29" s="14"/>
      <x:c r="AK29" s="14"/>
      <x:c r="AL29" s="14"/>
      <x:c r="AM29" s="14"/>
      <x:c r="AN29" s="14"/>
      <x:c r="AO29" s="14"/>
      <x:c r="AP29" s="14"/>
      <x:c r="AQ29" s="14"/>
      <x:c r="AR29" s="14"/>
      <x:c r="AS29" s="14"/>
      <x:c r="AT29" s="14"/>
      <x:c r="AU29" s="14"/>
      <x:c r="AV29" s="14"/>
      <x:c r="AW29" s="14"/>
      <x:c r="AX29" s="14"/>
      <x:c r="AY29" s="14"/>
      <x:c r="AZ29" s="14"/>
      <x:c r="BA29" s="10"/>
      <x:c r="BB29" s="10"/>
      <x:c r="BC29" s="10"/>
    </x:row>
    <x:row r="30">
      <x:c r="A30" s="10" t="str">
        <x:f>IF(COUNTA($B30:$M30)&gt;0,ROW()-4,"")</x:f>
      </x:c>
      <x:c r="B30" s="15"/>
      <x:c r="C30" s="10"/>
      <x:c r="D30" s="10"/>
      <x:c r="E30" s="10"/>
      <x:c r="F30" s="15"/>
      <x:c r="G30" s="15"/>
      <x:c r="H30" s="16"/>
      <x:c r="I30" s="16"/>
      <x:c r="J30" s="18"/>
      <x:c r="K30" s="19"/>
      <x:c r="L30" s="19"/>
      <x:c r="M30" s="22"/>
      <x:c r="N30" s="17"/>
      <x:c r="O30" s="17"/>
      <x:c r="P30" s="17"/>
      <x:c r="Q30" s="17"/>
      <x:c r="R30" s="17"/>
      <x:c r="S30" s="17"/>
      <x:c r="T30" s="17"/>
      <x:c r="U30" s="17"/>
      <x:c r="V30" s="17"/>
      <x:c r="W30" s="17"/>
      <x:c r="X30" s="17"/>
      <x:c r="Y30" s="17"/>
      <x:c r="Z30" s="13" t="str">
        <x:f>IF(COUNT(N30:Y30)=0,"",SUM(N30:Y30))</x:f>
      </x:c>
      <x:c r="AA30" s="20" t="str">
        <x:f>IF(OR($J30="",AND($Z30="",$I30="")),"",IF($Z30&lt;&gt;"",$Z30,$I30)*$J30)</x:f>
      </x:c>
      <x:c r="AB30" s="20" t="str">
        <x:f>IF(OR($K30="",AND($Z30="",$I30="")),"",IF($Z30&lt;&gt;"",$Z30,$I30)*$K30)</x:f>
      </x:c>
      <x:c r="AC30" s="21" t="str">
        <x:f>IF(OR($K30="",$L30="",$L30=0),"",($L30-$K30)/$L30)</x:f>
      </x:c>
      <x:c r="AD30" s="14"/>
      <x:c r="AE30" s="14"/>
      <x:c r="AF30" s="14"/>
      <x:c r="AG30" s="14"/>
      <x:c r="AH30" s="14"/>
      <x:c r="AI30" s="14"/>
      <x:c r="AJ30" s="14"/>
      <x:c r="AK30" s="14"/>
      <x:c r="AL30" s="14"/>
      <x:c r="AM30" s="14"/>
      <x:c r="AN30" s="14"/>
      <x:c r="AO30" s="14"/>
      <x:c r="AP30" s="14"/>
      <x:c r="AQ30" s="14"/>
      <x:c r="AR30" s="14"/>
      <x:c r="AS30" s="14"/>
      <x:c r="AT30" s="14"/>
      <x:c r="AU30" s="14"/>
      <x:c r="AV30" s="14"/>
      <x:c r="AW30" s="14"/>
      <x:c r="AX30" s="14"/>
      <x:c r="AY30" s="14"/>
      <x:c r="AZ30" s="14"/>
      <x:c r="BA30" s="10"/>
      <x:c r="BB30" s="10"/>
      <x:c r="BC30" s="10"/>
    </x:row>
    <x:row r="31">
      <x:c r="A31" s="10" t="str">
        <x:f>IF(COUNTA($B31:$M31)&gt;0,ROW()-4,"")</x:f>
      </x:c>
      <x:c r="B31" s="15"/>
      <x:c r="C31" s="10"/>
      <x:c r="D31" s="10"/>
      <x:c r="E31" s="10"/>
      <x:c r="F31" s="15"/>
      <x:c r="G31" s="15"/>
      <x:c r="H31" s="16"/>
      <x:c r="I31" s="16"/>
      <x:c r="J31" s="18"/>
      <x:c r="K31" s="19"/>
      <x:c r="L31" s="19"/>
      <x:c r="M31" s="22"/>
      <x:c r="N31" s="17"/>
      <x:c r="O31" s="17"/>
      <x:c r="P31" s="17"/>
      <x:c r="Q31" s="17"/>
      <x:c r="R31" s="17"/>
      <x:c r="S31" s="17"/>
      <x:c r="T31" s="17"/>
      <x:c r="U31" s="17"/>
      <x:c r="V31" s="17"/>
      <x:c r="W31" s="17"/>
      <x:c r="X31" s="17"/>
      <x:c r="Y31" s="17"/>
      <x:c r="Z31" s="13" t="str">
        <x:f>IF(COUNT(N31:Y31)=0,"",SUM(N31:Y31))</x:f>
      </x:c>
      <x:c r="AA31" s="20" t="str">
        <x:f>IF(OR($J31="",AND($Z31="",$I31="")),"",IF($Z31&lt;&gt;"",$Z31,$I31)*$J31)</x:f>
      </x:c>
      <x:c r="AB31" s="20" t="str">
        <x:f>IF(OR($K31="",AND($Z31="",$I31="")),"",IF($Z31&lt;&gt;"",$Z31,$I31)*$K31)</x:f>
      </x:c>
      <x:c r="AC31" s="21" t="str">
        <x:f>IF(OR($K31="",$L31="",$L31=0),"",($L31-$K31)/$L31)</x:f>
      </x:c>
      <x:c r="AD31" s="14"/>
      <x:c r="AE31" s="14"/>
      <x:c r="AF31" s="14"/>
      <x:c r="AG31" s="14"/>
      <x:c r="AH31" s="14"/>
      <x:c r="AI31" s="14"/>
      <x:c r="AJ31" s="14"/>
      <x:c r="AK31" s="14"/>
      <x:c r="AL31" s="14"/>
      <x:c r="AM31" s="14"/>
      <x:c r="AN31" s="14"/>
      <x:c r="AO31" s="14"/>
      <x:c r="AP31" s="14"/>
      <x:c r="AQ31" s="14"/>
      <x:c r="AR31" s="14"/>
      <x:c r="AS31" s="14"/>
      <x:c r="AT31" s="14"/>
      <x:c r="AU31" s="14"/>
      <x:c r="AV31" s="14"/>
      <x:c r="AW31" s="14"/>
      <x:c r="AX31" s="14"/>
      <x:c r="AY31" s="14"/>
      <x:c r="AZ31" s="14"/>
      <x:c r="BA31" s="10"/>
      <x:c r="BB31" s="10"/>
      <x:c r="BC31" s="10"/>
    </x:row>
    <x:row r="32">
      <x:c r="A32" s="10" t="str">
        <x:f>IF(COUNTA($B32:$M32)&gt;0,ROW()-4,"")</x:f>
      </x:c>
      <x:c r="B32" s="15"/>
      <x:c r="C32" s="10"/>
      <x:c r="D32" s="10"/>
      <x:c r="E32" s="10"/>
      <x:c r="F32" s="15"/>
      <x:c r="G32" s="15"/>
      <x:c r="H32" s="16"/>
      <x:c r="I32" s="16"/>
      <x:c r="J32" s="18"/>
      <x:c r="K32" s="19"/>
      <x:c r="L32" s="19"/>
      <x:c r="M32" s="22"/>
      <x:c r="N32" s="17"/>
      <x:c r="O32" s="17"/>
      <x:c r="P32" s="17"/>
      <x:c r="Q32" s="17"/>
      <x:c r="R32" s="17"/>
      <x:c r="S32" s="17"/>
      <x:c r="T32" s="17"/>
      <x:c r="U32" s="17"/>
      <x:c r="V32" s="17"/>
      <x:c r="W32" s="17"/>
      <x:c r="X32" s="17"/>
      <x:c r="Y32" s="17"/>
      <x:c r="Z32" s="13" t="str">
        <x:f>IF(COUNT(N32:Y32)=0,"",SUM(N32:Y32))</x:f>
      </x:c>
      <x:c r="AA32" s="20" t="str">
        <x:f>IF(OR($J32="",AND($Z32="",$I32="")),"",IF($Z32&lt;&gt;"",$Z32,$I32)*$J32)</x:f>
      </x:c>
      <x:c r="AB32" s="20" t="str">
        <x:f>IF(OR($K32="",AND($Z32="",$I32="")),"",IF($Z32&lt;&gt;"",$Z32,$I32)*$K32)</x:f>
      </x:c>
      <x:c r="AC32" s="21" t="str">
        <x:f>IF(OR($K32="",$L32="",$L32=0),"",($L32-$K32)/$L32)</x:f>
      </x:c>
      <x:c r="AD32" s="14"/>
      <x:c r="AE32" s="14"/>
      <x:c r="AF32" s="14"/>
      <x:c r="AG32" s="14"/>
      <x:c r="AH32" s="14"/>
      <x:c r="AI32" s="14"/>
      <x:c r="AJ32" s="14"/>
      <x:c r="AK32" s="14"/>
      <x:c r="AL32" s="14"/>
      <x:c r="AM32" s="14"/>
      <x:c r="AN32" s="14"/>
      <x:c r="AO32" s="14"/>
      <x:c r="AP32" s="14"/>
      <x:c r="AQ32" s="14"/>
      <x:c r="AR32" s="14"/>
      <x:c r="AS32" s="14"/>
      <x:c r="AT32" s="14"/>
      <x:c r="AU32" s="14"/>
      <x:c r="AV32" s="14"/>
      <x:c r="AW32" s="14"/>
      <x:c r="AX32" s="14"/>
      <x:c r="AY32" s="14"/>
      <x:c r="AZ32" s="14"/>
      <x:c r="BA32" s="10"/>
      <x:c r="BB32" s="10"/>
      <x:c r="BC32" s="10"/>
    </x:row>
    <x:row r="33">
      <x:c r="A33" s="10" t="str">
        <x:f>IF(COUNTA($B33:$M33)&gt;0,ROW()-4,"")</x:f>
      </x:c>
      <x:c r="B33" s="15"/>
      <x:c r="C33" s="10"/>
      <x:c r="D33" s="10"/>
      <x:c r="E33" s="10"/>
      <x:c r="F33" s="15"/>
      <x:c r="G33" s="15"/>
      <x:c r="H33" s="16"/>
      <x:c r="I33" s="16"/>
      <x:c r="J33" s="18"/>
      <x:c r="K33" s="19"/>
      <x:c r="L33" s="19"/>
      <x:c r="M33" s="22"/>
      <x:c r="N33" s="17"/>
      <x:c r="O33" s="17"/>
      <x:c r="P33" s="17"/>
      <x:c r="Q33" s="17"/>
      <x:c r="R33" s="17"/>
      <x:c r="S33" s="17"/>
      <x:c r="T33" s="17"/>
      <x:c r="U33" s="17"/>
      <x:c r="V33" s="17"/>
      <x:c r="W33" s="17"/>
      <x:c r="X33" s="17"/>
      <x:c r="Y33" s="17"/>
      <x:c r="Z33" s="13" t="str">
        <x:f>IF(COUNT(N33:Y33)=0,"",SUM(N33:Y33))</x:f>
      </x:c>
      <x:c r="AA33" s="20" t="str">
        <x:f>IF(OR($J33="",AND($Z33="",$I33="")),"",IF($Z33&lt;&gt;"",$Z33,$I33)*$J33)</x:f>
      </x:c>
      <x:c r="AB33" s="20" t="str">
        <x:f>IF(OR($K33="",AND($Z33="",$I33="")),"",IF($Z33&lt;&gt;"",$Z33,$I33)*$K33)</x:f>
      </x:c>
      <x:c r="AC33" s="21" t="str">
        <x:f>IF(OR($K33="",$L33="",$L33=0),"",($L33-$K33)/$L33)</x:f>
      </x:c>
      <x:c r="AD33" s="14"/>
      <x:c r="AE33" s="14"/>
      <x:c r="AF33" s="14"/>
      <x:c r="AG33" s="14"/>
      <x:c r="AH33" s="14"/>
      <x:c r="AI33" s="14"/>
      <x:c r="AJ33" s="14"/>
      <x:c r="AK33" s="14"/>
      <x:c r="AL33" s="14"/>
      <x:c r="AM33" s="14"/>
      <x:c r="AN33" s="14"/>
      <x:c r="AO33" s="14"/>
      <x:c r="AP33" s="14"/>
      <x:c r="AQ33" s="14"/>
      <x:c r="AR33" s="14"/>
      <x:c r="AS33" s="14"/>
      <x:c r="AT33" s="14"/>
      <x:c r="AU33" s="14"/>
      <x:c r="AV33" s="14"/>
      <x:c r="AW33" s="14"/>
      <x:c r="AX33" s="14"/>
      <x:c r="AY33" s="14"/>
      <x:c r="AZ33" s="14"/>
      <x:c r="BA33" s="10"/>
      <x:c r="BB33" s="10"/>
      <x:c r="BC33" s="10"/>
    </x:row>
    <x:row r="34">
      <x:c r="A34" s="10" t="str">
        <x:f>IF(COUNTA($B34:$M34)&gt;0,ROW()-4,"")</x:f>
      </x:c>
      <x:c r="B34" s="15"/>
      <x:c r="C34" s="10"/>
      <x:c r="D34" s="10"/>
      <x:c r="E34" s="10"/>
      <x:c r="F34" s="15"/>
      <x:c r="G34" s="15"/>
      <x:c r="H34" s="16"/>
      <x:c r="I34" s="16"/>
      <x:c r="J34" s="18"/>
      <x:c r="K34" s="19"/>
      <x:c r="L34" s="19"/>
      <x:c r="M34" s="22"/>
      <x:c r="N34" s="17"/>
      <x:c r="O34" s="17"/>
      <x:c r="P34" s="17"/>
      <x:c r="Q34" s="17"/>
      <x:c r="R34" s="17"/>
      <x:c r="S34" s="17"/>
      <x:c r="T34" s="17"/>
      <x:c r="U34" s="17"/>
      <x:c r="V34" s="17"/>
      <x:c r="W34" s="17"/>
      <x:c r="X34" s="17"/>
      <x:c r="Y34" s="17"/>
      <x:c r="Z34" s="13" t="str">
        <x:f>IF(COUNT(N34:Y34)=0,"",SUM(N34:Y34))</x:f>
      </x:c>
      <x:c r="AA34" s="20" t="str">
        <x:f>IF(OR($J34="",AND($Z34="",$I34="")),"",IF($Z34&lt;&gt;"",$Z34,$I34)*$J34)</x:f>
      </x:c>
      <x:c r="AB34" s="20" t="str">
        <x:f>IF(OR($K34="",AND($Z34="",$I34="")),"",IF($Z34&lt;&gt;"",$Z34,$I34)*$K34)</x:f>
      </x:c>
      <x:c r="AC34" s="21" t="str">
        <x:f>IF(OR($K34="",$L34="",$L34=0),"",($L34-$K34)/$L34)</x:f>
      </x:c>
      <x:c r="AD34" s="14"/>
      <x:c r="AE34" s="14"/>
      <x:c r="AF34" s="14"/>
      <x:c r="AG34" s="14"/>
      <x:c r="AH34" s="14"/>
      <x:c r="AI34" s="14"/>
      <x:c r="AJ34" s="14"/>
      <x:c r="AK34" s="14"/>
      <x:c r="AL34" s="14"/>
      <x:c r="AM34" s="14"/>
      <x:c r="AN34" s="14"/>
      <x:c r="AO34" s="14"/>
      <x:c r="AP34" s="14"/>
      <x:c r="AQ34" s="14"/>
      <x:c r="AR34" s="14"/>
      <x:c r="AS34" s="14"/>
      <x:c r="AT34" s="14"/>
      <x:c r="AU34" s="14"/>
      <x:c r="AV34" s="14"/>
      <x:c r="AW34" s="14"/>
      <x:c r="AX34" s="14"/>
      <x:c r="AY34" s="14"/>
      <x:c r="AZ34" s="14"/>
      <x:c r="BA34" s="10"/>
      <x:c r="BB34" s="10"/>
      <x:c r="BC34" s="10"/>
    </x:row>
    <x:row r="35">
      <x:c r="A35" s="10" t="str">
        <x:f>IF(COUNTA($B35:$M35)&gt;0,ROW()-4,"")</x:f>
      </x:c>
      <x:c r="B35" s="15"/>
      <x:c r="C35" s="10"/>
      <x:c r="D35" s="10"/>
      <x:c r="E35" s="10"/>
      <x:c r="F35" s="15"/>
      <x:c r="G35" s="15"/>
      <x:c r="H35" s="16"/>
      <x:c r="I35" s="16"/>
      <x:c r="J35" s="18"/>
      <x:c r="K35" s="19"/>
      <x:c r="L35" s="19"/>
      <x:c r="M35" s="22"/>
      <x:c r="N35" s="17"/>
      <x:c r="O35" s="17"/>
      <x:c r="P35" s="17"/>
      <x:c r="Q35" s="17"/>
      <x:c r="R35" s="17"/>
      <x:c r="S35" s="17"/>
      <x:c r="T35" s="17"/>
      <x:c r="U35" s="17"/>
      <x:c r="V35" s="17"/>
      <x:c r="W35" s="17"/>
      <x:c r="X35" s="17"/>
      <x:c r="Y35" s="17"/>
      <x:c r="Z35" s="13" t="str">
        <x:f>IF(COUNT(N35:Y35)=0,"",SUM(N35:Y35))</x:f>
      </x:c>
      <x:c r="AA35" s="20" t="str">
        <x:f>IF(OR($J35="",AND($Z35="",$I35="")),"",IF($Z35&lt;&gt;"",$Z35,$I35)*$J35)</x:f>
      </x:c>
      <x:c r="AB35" s="20" t="str">
        <x:f>IF(OR($K35="",AND($Z35="",$I35="")),"",IF($Z35&lt;&gt;"",$Z35,$I35)*$K35)</x:f>
      </x:c>
      <x:c r="AC35" s="21" t="str">
        <x:f>IF(OR($K35="",$L35="",$L35=0),"",($L35-$K35)/$L35)</x:f>
      </x:c>
      <x:c r="AD35" s="14"/>
      <x:c r="AE35" s="14"/>
      <x:c r="AF35" s="14"/>
      <x:c r="AG35" s="14"/>
      <x:c r="AH35" s="14"/>
      <x:c r="AI35" s="14"/>
      <x:c r="AJ35" s="14"/>
      <x:c r="AK35" s="14"/>
      <x:c r="AL35" s="14"/>
      <x:c r="AM35" s="14"/>
      <x:c r="AN35" s="14"/>
      <x:c r="AO35" s="14"/>
      <x:c r="AP35" s="14"/>
      <x:c r="AQ35" s="14"/>
      <x:c r="AR35" s="14"/>
      <x:c r="AS35" s="14"/>
      <x:c r="AT35" s="14"/>
      <x:c r="AU35" s="14"/>
      <x:c r="AV35" s="14"/>
      <x:c r="AW35" s="14"/>
      <x:c r="AX35" s="14"/>
      <x:c r="AY35" s="14"/>
      <x:c r="AZ35" s="14"/>
      <x:c r="BA35" s="10"/>
      <x:c r="BB35" s="10"/>
      <x:c r="BC35" s="10"/>
    </x:row>
    <x:row r="36">
      <x:c r="A36" s="10" t="str">
        <x:f>IF(COUNTA($B36:$M36)&gt;0,ROW()-4,"")</x:f>
      </x:c>
      <x:c r="B36" s="15"/>
      <x:c r="C36" s="10"/>
      <x:c r="D36" s="10"/>
      <x:c r="E36" s="10"/>
      <x:c r="F36" s="15"/>
      <x:c r="G36" s="15"/>
      <x:c r="H36" s="16"/>
      <x:c r="I36" s="16"/>
      <x:c r="J36" s="18"/>
      <x:c r="K36" s="19"/>
      <x:c r="L36" s="19"/>
      <x:c r="M36" s="22"/>
      <x:c r="N36" s="17"/>
      <x:c r="O36" s="17"/>
      <x:c r="P36" s="17"/>
      <x:c r="Q36" s="17"/>
      <x:c r="R36" s="17"/>
      <x:c r="S36" s="17"/>
      <x:c r="T36" s="17"/>
      <x:c r="U36" s="17"/>
      <x:c r="V36" s="17"/>
      <x:c r="W36" s="17"/>
      <x:c r="X36" s="17"/>
      <x:c r="Y36" s="17"/>
      <x:c r="Z36" s="13" t="str">
        <x:f>IF(COUNT(N36:Y36)=0,"",SUM(N36:Y36))</x:f>
      </x:c>
      <x:c r="AA36" s="20" t="str">
        <x:f>IF(OR($J36="",AND($Z36="",$I36="")),"",IF($Z36&lt;&gt;"",$Z36,$I36)*$J36)</x:f>
      </x:c>
      <x:c r="AB36" s="20" t="str">
        <x:f>IF(OR($K36="",AND($Z36="",$I36="")),"",IF($Z36&lt;&gt;"",$Z36,$I36)*$K36)</x:f>
      </x:c>
      <x:c r="AC36" s="21" t="str">
        <x:f>IF(OR($K36="",$L36="",$L36=0),"",($L36-$K36)/$L36)</x:f>
      </x:c>
      <x:c r="AD36" s="14"/>
      <x:c r="AE36" s="14"/>
      <x:c r="AF36" s="14"/>
      <x:c r="AG36" s="14"/>
      <x:c r="AH36" s="14"/>
      <x:c r="AI36" s="14"/>
      <x:c r="AJ36" s="14"/>
      <x:c r="AK36" s="14"/>
      <x:c r="AL36" s="14"/>
      <x:c r="AM36" s="14"/>
      <x:c r="AN36" s="14"/>
      <x:c r="AO36" s="14"/>
      <x:c r="AP36" s="14"/>
      <x:c r="AQ36" s="14"/>
      <x:c r="AR36" s="14"/>
      <x:c r="AS36" s="14"/>
      <x:c r="AT36" s="14"/>
      <x:c r="AU36" s="14"/>
      <x:c r="AV36" s="14"/>
      <x:c r="AW36" s="14"/>
      <x:c r="AX36" s="14"/>
      <x:c r="AY36" s="14"/>
      <x:c r="AZ36" s="14"/>
      <x:c r="BA36" s="10"/>
      <x:c r="BB36" s="10"/>
      <x:c r="BC36" s="10"/>
    </x:row>
    <x:row r="37">
      <x:c r="A37" s="10" t="str">
        <x:f>IF(COUNTA($B37:$M37)&gt;0,ROW()-4,"")</x:f>
      </x:c>
      <x:c r="B37" s="15"/>
      <x:c r="C37" s="10"/>
      <x:c r="D37" s="10"/>
      <x:c r="E37" s="10"/>
      <x:c r="F37" s="15"/>
      <x:c r="G37" s="15"/>
      <x:c r="H37" s="16"/>
      <x:c r="I37" s="16"/>
      <x:c r="J37" s="18"/>
      <x:c r="K37" s="19"/>
      <x:c r="L37" s="19"/>
      <x:c r="M37" s="22"/>
      <x:c r="N37" s="17"/>
      <x:c r="O37" s="17"/>
      <x:c r="P37" s="17"/>
      <x:c r="Q37" s="17"/>
      <x:c r="R37" s="17"/>
      <x:c r="S37" s="17"/>
      <x:c r="T37" s="17"/>
      <x:c r="U37" s="17"/>
      <x:c r="V37" s="17"/>
      <x:c r="W37" s="17"/>
      <x:c r="X37" s="17"/>
      <x:c r="Y37" s="17"/>
      <x:c r="Z37" s="13" t="str">
        <x:f>IF(COUNT(N37:Y37)=0,"",SUM(N37:Y37))</x:f>
      </x:c>
      <x:c r="AA37" s="20" t="str">
        <x:f>IF(OR($J37="",AND($Z37="",$I37="")),"",IF($Z37&lt;&gt;"",$Z37,$I37)*$J37)</x:f>
      </x:c>
      <x:c r="AB37" s="20" t="str">
        <x:f>IF(OR($K37="",AND($Z37="",$I37="")),"",IF($Z37&lt;&gt;"",$Z37,$I37)*$K37)</x:f>
      </x:c>
      <x:c r="AC37" s="21" t="str">
        <x:f>IF(OR($K37="",$L37="",$L37=0),"",($L37-$K37)/$L37)</x:f>
      </x:c>
      <x:c r="AD37" s="14"/>
      <x:c r="AE37" s="14"/>
      <x:c r="AF37" s="14"/>
      <x:c r="AG37" s="14"/>
      <x:c r="AH37" s="14"/>
      <x:c r="AI37" s="14"/>
      <x:c r="AJ37" s="14"/>
      <x:c r="AK37" s="14"/>
      <x:c r="AL37" s="14"/>
      <x:c r="AM37" s="14"/>
      <x:c r="AN37" s="14"/>
      <x:c r="AO37" s="14"/>
      <x:c r="AP37" s="14"/>
      <x:c r="AQ37" s="14"/>
      <x:c r="AR37" s="14"/>
      <x:c r="AS37" s="14"/>
      <x:c r="AT37" s="14"/>
      <x:c r="AU37" s="14"/>
      <x:c r="AV37" s="14"/>
      <x:c r="AW37" s="14"/>
      <x:c r="AX37" s="14"/>
      <x:c r="AY37" s="14"/>
      <x:c r="AZ37" s="14"/>
      <x:c r="BA37" s="10"/>
      <x:c r="BB37" s="10"/>
      <x:c r="BC37" s="10"/>
    </x:row>
    <x:row r="38">
      <x:c r="A38" s="10" t="str">
        <x:f>IF(COUNTA($B38:$M38)&gt;0,ROW()-4,"")</x:f>
      </x:c>
      <x:c r="B38" s="15"/>
      <x:c r="C38" s="10"/>
      <x:c r="D38" s="10"/>
      <x:c r="E38" s="10"/>
      <x:c r="F38" s="15"/>
      <x:c r="G38" s="15"/>
      <x:c r="H38" s="16"/>
      <x:c r="I38" s="16"/>
      <x:c r="J38" s="18"/>
      <x:c r="K38" s="19"/>
      <x:c r="L38" s="19"/>
      <x:c r="M38" s="22"/>
      <x:c r="N38" s="17"/>
      <x:c r="O38" s="17"/>
      <x:c r="P38" s="17"/>
      <x:c r="Q38" s="17"/>
      <x:c r="R38" s="17"/>
      <x:c r="S38" s="17"/>
      <x:c r="T38" s="17"/>
      <x:c r="U38" s="17"/>
      <x:c r="V38" s="17"/>
      <x:c r="W38" s="17"/>
      <x:c r="X38" s="17"/>
      <x:c r="Y38" s="17"/>
      <x:c r="Z38" s="13" t="str">
        <x:f>IF(COUNT(N38:Y38)=0,"",SUM(N38:Y38))</x:f>
      </x:c>
      <x:c r="AA38" s="20" t="str">
        <x:f>IF(OR($J38="",AND($Z38="",$I38="")),"",IF($Z38&lt;&gt;"",$Z38,$I38)*$J38)</x:f>
      </x:c>
      <x:c r="AB38" s="20" t="str">
        <x:f>IF(OR($K38="",AND($Z38="",$I38="")),"",IF($Z38&lt;&gt;"",$Z38,$I38)*$K38)</x:f>
      </x:c>
      <x:c r="AC38" s="21" t="str">
        <x:f>IF(OR($K38="",$L38="",$L38=0),"",($L38-$K38)/$L38)</x:f>
      </x:c>
      <x:c r="AD38" s="14"/>
      <x:c r="AE38" s="14"/>
      <x:c r="AF38" s="14"/>
      <x:c r="AG38" s="14"/>
      <x:c r="AH38" s="14"/>
      <x:c r="AI38" s="14"/>
      <x:c r="AJ38" s="14"/>
      <x:c r="AK38" s="14"/>
      <x:c r="AL38" s="14"/>
      <x:c r="AM38" s="14"/>
      <x:c r="AN38" s="14"/>
      <x:c r="AO38" s="14"/>
      <x:c r="AP38" s="14"/>
      <x:c r="AQ38" s="14"/>
      <x:c r="AR38" s="14"/>
      <x:c r="AS38" s="14"/>
      <x:c r="AT38" s="14"/>
      <x:c r="AU38" s="14"/>
      <x:c r="AV38" s="14"/>
      <x:c r="AW38" s="14"/>
      <x:c r="AX38" s="14"/>
      <x:c r="AY38" s="14"/>
      <x:c r="AZ38" s="14"/>
      <x:c r="BA38" s="10"/>
      <x:c r="BB38" s="10"/>
      <x:c r="BC38" s="10"/>
    </x:row>
    <x:row r="39">
      <x:c r="A39" s="10" t="str">
        <x:f>IF(COUNTA($B39:$M39)&gt;0,ROW()-4,"")</x:f>
      </x:c>
      <x:c r="B39" s="15"/>
      <x:c r="C39" s="10"/>
      <x:c r="D39" s="10"/>
      <x:c r="E39" s="10"/>
      <x:c r="F39" s="15"/>
      <x:c r="G39" s="15"/>
      <x:c r="H39" s="16"/>
      <x:c r="I39" s="16"/>
      <x:c r="J39" s="18"/>
      <x:c r="K39" s="19"/>
      <x:c r="L39" s="19"/>
      <x:c r="M39" s="22"/>
      <x:c r="N39" s="17"/>
      <x:c r="O39" s="17"/>
      <x:c r="P39" s="17"/>
      <x:c r="Q39" s="17"/>
      <x:c r="R39" s="17"/>
      <x:c r="S39" s="17"/>
      <x:c r="T39" s="17"/>
      <x:c r="U39" s="17"/>
      <x:c r="V39" s="17"/>
      <x:c r="W39" s="17"/>
      <x:c r="X39" s="17"/>
      <x:c r="Y39" s="17"/>
      <x:c r="Z39" s="13" t="str">
        <x:f>IF(COUNT(N39:Y39)=0,"",SUM(N39:Y39))</x:f>
      </x:c>
      <x:c r="AA39" s="20" t="str">
        <x:f>IF(OR($J39="",AND($Z39="",$I39="")),"",IF($Z39&lt;&gt;"",$Z39,$I39)*$J39)</x:f>
      </x:c>
      <x:c r="AB39" s="20" t="str">
        <x:f>IF(OR($K39="",AND($Z39="",$I39="")),"",IF($Z39&lt;&gt;"",$Z39,$I39)*$K39)</x:f>
      </x:c>
      <x:c r="AC39" s="21" t="str">
        <x:f>IF(OR($K39="",$L39="",$L39=0),"",($L39-$K39)/$L39)</x:f>
      </x:c>
      <x:c r="AD39" s="14"/>
      <x:c r="AE39" s="14"/>
      <x:c r="AF39" s="14"/>
      <x:c r="AG39" s="14"/>
      <x:c r="AH39" s="14"/>
      <x:c r="AI39" s="14"/>
      <x:c r="AJ39" s="14"/>
      <x:c r="AK39" s="14"/>
      <x:c r="AL39" s="14"/>
      <x:c r="AM39" s="14"/>
      <x:c r="AN39" s="14"/>
      <x:c r="AO39" s="14"/>
      <x:c r="AP39" s="14"/>
      <x:c r="AQ39" s="14"/>
      <x:c r="AR39" s="14"/>
      <x:c r="AS39" s="14"/>
      <x:c r="AT39" s="14"/>
      <x:c r="AU39" s="14"/>
      <x:c r="AV39" s="14"/>
      <x:c r="AW39" s="14"/>
      <x:c r="AX39" s="14"/>
      <x:c r="AY39" s="14"/>
      <x:c r="AZ39" s="14"/>
      <x:c r="BA39" s="10"/>
      <x:c r="BB39" s="10"/>
      <x:c r="BC39" s="10"/>
    </x:row>
    <x:row r="40">
      <x:c r="A40" s="10" t="str">
        <x:f>IF(COUNTA($B40:$M40)&gt;0,ROW()-4,"")</x:f>
      </x:c>
      <x:c r="B40" s="15"/>
      <x:c r="C40" s="10"/>
      <x:c r="D40" s="10"/>
      <x:c r="E40" s="10"/>
      <x:c r="F40" s="15"/>
      <x:c r="G40" s="15"/>
      <x:c r="H40" s="16"/>
      <x:c r="I40" s="16"/>
      <x:c r="J40" s="18"/>
      <x:c r="K40" s="19"/>
      <x:c r="L40" s="19"/>
      <x:c r="M40" s="22"/>
      <x:c r="N40" s="17"/>
      <x:c r="O40" s="17"/>
      <x:c r="P40" s="17"/>
      <x:c r="Q40" s="17"/>
      <x:c r="R40" s="17"/>
      <x:c r="S40" s="17"/>
      <x:c r="T40" s="17"/>
      <x:c r="U40" s="17"/>
      <x:c r="V40" s="17"/>
      <x:c r="W40" s="17"/>
      <x:c r="X40" s="17"/>
      <x:c r="Y40" s="17"/>
      <x:c r="Z40" s="13" t="str">
        <x:f>IF(COUNT(N40:Y40)=0,"",SUM(N40:Y40))</x:f>
      </x:c>
      <x:c r="AA40" s="20" t="str">
        <x:f>IF(OR($J40="",AND($Z40="",$I40="")),"",IF($Z40&lt;&gt;"",$Z40,$I40)*$J40)</x:f>
      </x:c>
      <x:c r="AB40" s="20" t="str">
        <x:f>IF(OR($K40="",AND($Z40="",$I40="")),"",IF($Z40&lt;&gt;"",$Z40,$I40)*$K40)</x:f>
      </x:c>
      <x:c r="AC40" s="21" t="str">
        <x:f>IF(OR($K40="",$L40="",$L40=0),"",($L40-$K40)/$L40)</x:f>
      </x:c>
      <x:c r="AD40" s="14"/>
      <x:c r="AE40" s="14"/>
      <x:c r="AF40" s="14"/>
      <x:c r="AG40" s="14"/>
      <x:c r="AH40" s="14"/>
      <x:c r="AI40" s="14"/>
      <x:c r="AJ40" s="14"/>
      <x:c r="AK40" s="14"/>
      <x:c r="AL40" s="14"/>
      <x:c r="AM40" s="14"/>
      <x:c r="AN40" s="14"/>
      <x:c r="AO40" s="14"/>
      <x:c r="AP40" s="14"/>
      <x:c r="AQ40" s="14"/>
      <x:c r="AR40" s="14"/>
      <x:c r="AS40" s="14"/>
      <x:c r="AT40" s="14"/>
      <x:c r="AU40" s="14"/>
      <x:c r="AV40" s="14"/>
      <x:c r="AW40" s="14"/>
      <x:c r="AX40" s="14"/>
      <x:c r="AY40" s="14"/>
      <x:c r="AZ40" s="14"/>
      <x:c r="BA40" s="10"/>
      <x:c r="BB40" s="10"/>
      <x:c r="BC40" s="10"/>
    </x:row>
    <x:row r="41">
      <x:c r="A41" s="10" t="str">
        <x:f>IF(COUNTA($B41:$M41)&gt;0,ROW()-4,"")</x:f>
      </x:c>
      <x:c r="B41" s="15"/>
      <x:c r="C41" s="10"/>
      <x:c r="D41" s="10"/>
      <x:c r="E41" s="10"/>
      <x:c r="F41" s="15"/>
      <x:c r="G41" s="15"/>
      <x:c r="H41" s="16"/>
      <x:c r="I41" s="16"/>
      <x:c r="J41" s="18"/>
      <x:c r="K41" s="19"/>
      <x:c r="L41" s="19"/>
      <x:c r="M41" s="22"/>
      <x:c r="N41" s="17"/>
      <x:c r="O41" s="17"/>
      <x:c r="P41" s="17"/>
      <x:c r="Q41" s="17"/>
      <x:c r="R41" s="17"/>
      <x:c r="S41" s="17"/>
      <x:c r="T41" s="17"/>
      <x:c r="U41" s="17"/>
      <x:c r="V41" s="17"/>
      <x:c r="W41" s="17"/>
      <x:c r="X41" s="17"/>
      <x:c r="Y41" s="17"/>
      <x:c r="Z41" s="13" t="str">
        <x:f>IF(COUNT(N41:Y41)=0,"",SUM(N41:Y41))</x:f>
      </x:c>
      <x:c r="AA41" s="20" t="str">
        <x:f>IF(OR($J41="",AND($Z41="",$I41="")),"",IF($Z41&lt;&gt;"",$Z41,$I41)*$J41)</x:f>
      </x:c>
      <x:c r="AB41" s="20" t="str">
        <x:f>IF(OR($K41="",AND($Z41="",$I41="")),"",IF($Z41&lt;&gt;"",$Z41,$I41)*$K41)</x:f>
      </x:c>
      <x:c r="AC41" s="21" t="str">
        <x:f>IF(OR($K41="",$L41="",$L41=0),"",($L41-$K41)/$L41)</x:f>
      </x:c>
      <x:c r="AD41" s="14"/>
      <x:c r="AE41" s="14"/>
      <x:c r="AF41" s="14"/>
      <x:c r="AG41" s="14"/>
      <x:c r="AH41" s="14"/>
      <x:c r="AI41" s="14"/>
      <x:c r="AJ41" s="14"/>
      <x:c r="AK41" s="14"/>
      <x:c r="AL41" s="14"/>
      <x:c r="AM41" s="14"/>
      <x:c r="AN41" s="14"/>
      <x:c r="AO41" s="14"/>
      <x:c r="AP41" s="14"/>
      <x:c r="AQ41" s="14"/>
      <x:c r="AR41" s="14"/>
      <x:c r="AS41" s="14"/>
      <x:c r="AT41" s="14"/>
      <x:c r="AU41" s="14"/>
      <x:c r="AV41" s="14"/>
      <x:c r="AW41" s="14"/>
      <x:c r="AX41" s="14"/>
      <x:c r="AY41" s="14"/>
      <x:c r="AZ41" s="14"/>
      <x:c r="BA41" s="10"/>
      <x:c r="BB41" s="10"/>
      <x:c r="BC41" s="10"/>
    </x:row>
    <x:row r="42">
      <x:c r="A42" s="10" t="str">
        <x:f>IF(COUNTA($B42:$M42)&gt;0,ROW()-4,"")</x:f>
      </x:c>
      <x:c r="B42" s="15"/>
      <x:c r="C42" s="10"/>
      <x:c r="D42" s="10"/>
      <x:c r="E42" s="10"/>
      <x:c r="F42" s="15"/>
      <x:c r="G42" s="15"/>
      <x:c r="H42" s="16"/>
      <x:c r="I42" s="16"/>
      <x:c r="J42" s="18"/>
      <x:c r="K42" s="19"/>
      <x:c r="L42" s="19"/>
      <x:c r="M42" s="22"/>
      <x:c r="N42" s="17"/>
      <x:c r="O42" s="17"/>
      <x:c r="P42" s="17"/>
      <x:c r="Q42" s="17"/>
      <x:c r="R42" s="17"/>
      <x:c r="S42" s="17"/>
      <x:c r="T42" s="17"/>
      <x:c r="U42" s="17"/>
      <x:c r="V42" s="17"/>
      <x:c r="W42" s="17"/>
      <x:c r="X42" s="17"/>
      <x:c r="Y42" s="17"/>
      <x:c r="Z42" s="13" t="str">
        <x:f>IF(COUNT(N42:Y42)=0,"",SUM(N42:Y42))</x:f>
      </x:c>
      <x:c r="AA42" s="20" t="str">
        <x:f>IF(OR($J42="",AND($Z42="",$I42="")),"",IF($Z42&lt;&gt;"",$Z42,$I42)*$J42)</x:f>
      </x:c>
      <x:c r="AB42" s="20" t="str">
        <x:f>IF(OR($K42="",AND($Z42="",$I42="")),"",IF($Z42&lt;&gt;"",$Z42,$I42)*$K42)</x:f>
      </x:c>
      <x:c r="AC42" s="21" t="str">
        <x:f>IF(OR($K42="",$L42="",$L42=0),"",($L42-$K42)/$L42)</x:f>
      </x:c>
      <x:c r="AD42" s="14"/>
      <x:c r="AE42" s="14"/>
      <x:c r="AF42" s="14"/>
      <x:c r="AG42" s="14"/>
      <x:c r="AH42" s="14"/>
      <x:c r="AI42" s="14"/>
      <x:c r="AJ42" s="14"/>
      <x:c r="AK42" s="14"/>
      <x:c r="AL42" s="14"/>
      <x:c r="AM42" s="14"/>
      <x:c r="AN42" s="14"/>
      <x:c r="AO42" s="14"/>
      <x:c r="AP42" s="14"/>
      <x:c r="AQ42" s="14"/>
      <x:c r="AR42" s="14"/>
      <x:c r="AS42" s="14"/>
      <x:c r="AT42" s="14"/>
      <x:c r="AU42" s="14"/>
      <x:c r="AV42" s="14"/>
      <x:c r="AW42" s="14"/>
      <x:c r="AX42" s="14"/>
      <x:c r="AY42" s="14"/>
      <x:c r="AZ42" s="14"/>
      <x:c r="BA42" s="10"/>
      <x:c r="BB42" s="10"/>
      <x:c r="BC42" s="10"/>
    </x:row>
    <x:row r="43">
      <x:c r="A43" s="10" t="str">
        <x:f>IF(COUNTA($B43:$M43)&gt;0,ROW()-4,"")</x:f>
      </x:c>
      <x:c r="B43" s="15"/>
      <x:c r="C43" s="10"/>
      <x:c r="D43" s="10"/>
      <x:c r="E43" s="10"/>
      <x:c r="F43" s="15"/>
      <x:c r="G43" s="15"/>
      <x:c r="H43" s="16"/>
      <x:c r="I43" s="16"/>
      <x:c r="J43" s="18"/>
      <x:c r="K43" s="19"/>
      <x:c r="L43" s="19"/>
      <x:c r="M43" s="22"/>
      <x:c r="N43" s="17"/>
      <x:c r="O43" s="17"/>
      <x:c r="P43" s="17"/>
      <x:c r="Q43" s="17"/>
      <x:c r="R43" s="17"/>
      <x:c r="S43" s="17"/>
      <x:c r="T43" s="17"/>
      <x:c r="U43" s="17"/>
      <x:c r="V43" s="17"/>
      <x:c r="W43" s="17"/>
      <x:c r="X43" s="17"/>
      <x:c r="Y43" s="17"/>
      <x:c r="Z43" s="13" t="str">
        <x:f>IF(COUNT(N43:Y43)=0,"",SUM(N43:Y43))</x:f>
      </x:c>
      <x:c r="AA43" s="20" t="str">
        <x:f>IF(OR($J43="",AND($Z43="",$I43="")),"",IF($Z43&lt;&gt;"",$Z43,$I43)*$J43)</x:f>
      </x:c>
      <x:c r="AB43" s="20" t="str">
        <x:f>IF(OR($K43="",AND($Z43="",$I43="")),"",IF($Z43&lt;&gt;"",$Z43,$I43)*$K43)</x:f>
      </x:c>
      <x:c r="AC43" s="21" t="str">
        <x:f>IF(OR($K43="",$L43="",$L43=0),"",($L43-$K43)/$L43)</x:f>
      </x:c>
      <x:c r="AD43" s="14"/>
      <x:c r="AE43" s="14"/>
      <x:c r="AF43" s="14"/>
      <x:c r="AG43" s="14"/>
      <x:c r="AH43" s="14"/>
      <x:c r="AI43" s="14"/>
      <x:c r="AJ43" s="14"/>
      <x:c r="AK43" s="14"/>
      <x:c r="AL43" s="14"/>
      <x:c r="AM43" s="14"/>
      <x:c r="AN43" s="14"/>
      <x:c r="AO43" s="14"/>
      <x:c r="AP43" s="14"/>
      <x:c r="AQ43" s="14"/>
      <x:c r="AR43" s="14"/>
      <x:c r="AS43" s="14"/>
      <x:c r="AT43" s="14"/>
      <x:c r="AU43" s="14"/>
      <x:c r="AV43" s="14"/>
      <x:c r="AW43" s="14"/>
      <x:c r="AX43" s="14"/>
      <x:c r="AY43" s="14"/>
      <x:c r="AZ43" s="14"/>
      <x:c r="BA43" s="10"/>
      <x:c r="BB43" s="10"/>
      <x:c r="BC43" s="10"/>
    </x:row>
    <x:row r="44">
      <x:c r="A44" s="10" t="str">
        <x:f>IF(COUNTA($B44:$M44)&gt;0,ROW()-4,"")</x:f>
      </x:c>
      <x:c r="B44" s="15"/>
      <x:c r="C44" s="10"/>
      <x:c r="D44" s="10"/>
      <x:c r="E44" s="10"/>
      <x:c r="F44" s="15"/>
      <x:c r="G44" s="15"/>
      <x:c r="H44" s="16"/>
      <x:c r="I44" s="16"/>
      <x:c r="J44" s="18"/>
      <x:c r="K44" s="19"/>
      <x:c r="L44" s="19"/>
      <x:c r="M44" s="22"/>
      <x:c r="N44" s="17"/>
      <x:c r="O44" s="17"/>
      <x:c r="P44" s="17"/>
      <x:c r="Q44" s="17"/>
      <x:c r="R44" s="17"/>
      <x:c r="S44" s="17"/>
      <x:c r="T44" s="17"/>
      <x:c r="U44" s="17"/>
      <x:c r="V44" s="17"/>
      <x:c r="W44" s="17"/>
      <x:c r="X44" s="17"/>
      <x:c r="Y44" s="17"/>
      <x:c r="Z44" s="13" t="str">
        <x:f>IF(COUNT(N44:Y44)=0,"",SUM(N44:Y44))</x:f>
      </x:c>
      <x:c r="AA44" s="20" t="str">
        <x:f>IF(OR($J44="",AND($Z44="",$I44="")),"",IF($Z44&lt;&gt;"",$Z44,$I44)*$J44)</x:f>
      </x:c>
      <x:c r="AB44" s="20" t="str">
        <x:f>IF(OR($K44="",AND($Z44="",$I44="")),"",IF($Z44&lt;&gt;"",$Z44,$I44)*$K44)</x:f>
      </x:c>
      <x:c r="AC44" s="21" t="str">
        <x:f>IF(OR($K44="",$L44="",$L44=0),"",($L44-$K44)/$L44)</x:f>
      </x:c>
      <x:c r="AD44" s="14"/>
      <x:c r="AE44" s="14"/>
      <x:c r="AF44" s="14"/>
      <x:c r="AG44" s="14"/>
      <x:c r="AH44" s="14"/>
      <x:c r="AI44" s="14"/>
      <x:c r="AJ44" s="14"/>
      <x:c r="AK44" s="14"/>
      <x:c r="AL44" s="14"/>
      <x:c r="AM44" s="14"/>
      <x:c r="AN44" s="14"/>
      <x:c r="AO44" s="14"/>
      <x:c r="AP44" s="14"/>
      <x:c r="AQ44" s="14"/>
      <x:c r="AR44" s="14"/>
      <x:c r="AS44" s="14"/>
      <x:c r="AT44" s="14"/>
      <x:c r="AU44" s="14"/>
      <x:c r="AV44" s="14"/>
      <x:c r="AW44" s="14"/>
      <x:c r="AX44" s="14"/>
      <x:c r="AY44" s="14"/>
      <x:c r="AZ44" s="14"/>
      <x:c r="BA44" s="10"/>
      <x:c r="BB44" s="10"/>
      <x:c r="BC44" s="10"/>
    </x:row>
    <x:row r="45">
      <x:c r="A45" s="10" t="str">
        <x:f>IF(COUNTA($B45:$M45)&gt;0,ROW()-4,"")</x:f>
      </x:c>
      <x:c r="B45" s="15"/>
      <x:c r="C45" s="10"/>
      <x:c r="D45" s="10"/>
      <x:c r="E45" s="10"/>
      <x:c r="F45" s="15"/>
      <x:c r="G45" s="15"/>
      <x:c r="H45" s="16"/>
      <x:c r="I45" s="16"/>
      <x:c r="J45" s="18"/>
      <x:c r="K45" s="19"/>
      <x:c r="L45" s="19"/>
      <x:c r="M45" s="22"/>
      <x:c r="N45" s="17"/>
      <x:c r="O45" s="17"/>
      <x:c r="P45" s="17"/>
      <x:c r="Q45" s="17"/>
      <x:c r="R45" s="17"/>
      <x:c r="S45" s="17"/>
      <x:c r="T45" s="17"/>
      <x:c r="U45" s="17"/>
      <x:c r="V45" s="17"/>
      <x:c r="W45" s="17"/>
      <x:c r="X45" s="17"/>
      <x:c r="Y45" s="17"/>
      <x:c r="Z45" s="13" t="str">
        <x:f>IF(COUNT(N45:Y45)=0,"",SUM(N45:Y45))</x:f>
      </x:c>
      <x:c r="AA45" s="20" t="str">
        <x:f>IF(OR($J45="",AND($Z45="",$I45="")),"",IF($Z45&lt;&gt;"",$Z45,$I45)*$J45)</x:f>
      </x:c>
      <x:c r="AB45" s="20" t="str">
        <x:f>IF(OR($K45="",AND($Z45="",$I45="")),"",IF($Z45&lt;&gt;"",$Z45,$I45)*$K45)</x:f>
      </x:c>
      <x:c r="AC45" s="21" t="str">
        <x:f>IF(OR($K45="",$L45="",$L45=0),"",($L45-$K45)/$L45)</x:f>
      </x:c>
      <x:c r="AD45" s="14"/>
      <x:c r="AE45" s="14"/>
      <x:c r="AF45" s="14"/>
      <x:c r="AG45" s="14"/>
      <x:c r="AH45" s="14"/>
      <x:c r="AI45" s="14"/>
      <x:c r="AJ45" s="14"/>
      <x:c r="AK45" s="14"/>
      <x:c r="AL45" s="14"/>
      <x:c r="AM45" s="14"/>
      <x:c r="AN45" s="14"/>
      <x:c r="AO45" s="14"/>
      <x:c r="AP45" s="14"/>
      <x:c r="AQ45" s="14"/>
      <x:c r="AR45" s="14"/>
      <x:c r="AS45" s="14"/>
      <x:c r="AT45" s="14"/>
      <x:c r="AU45" s="14"/>
      <x:c r="AV45" s="14"/>
      <x:c r="AW45" s="14"/>
      <x:c r="AX45" s="14"/>
      <x:c r="AY45" s="14"/>
      <x:c r="AZ45" s="14"/>
      <x:c r="BA45" s="10"/>
      <x:c r="BB45" s="10"/>
      <x:c r="BC45" s="10"/>
    </x:row>
    <x:row r="46">
      <x:c r="A46" s="10" t="str">
        <x:f>IF(COUNTA($B46:$M46)&gt;0,ROW()-4,"")</x:f>
      </x:c>
      <x:c r="B46" s="15"/>
      <x:c r="C46" s="10"/>
      <x:c r="D46" s="10"/>
      <x:c r="E46" s="10"/>
      <x:c r="F46" s="15"/>
      <x:c r="G46" s="15"/>
      <x:c r="H46" s="16"/>
      <x:c r="I46" s="16"/>
      <x:c r="J46" s="18"/>
      <x:c r="K46" s="19"/>
      <x:c r="L46" s="19"/>
      <x:c r="M46" s="22"/>
      <x:c r="N46" s="17"/>
      <x:c r="O46" s="17"/>
      <x:c r="P46" s="17"/>
      <x:c r="Q46" s="17"/>
      <x:c r="R46" s="17"/>
      <x:c r="S46" s="17"/>
      <x:c r="T46" s="17"/>
      <x:c r="U46" s="17"/>
      <x:c r="V46" s="17"/>
      <x:c r="W46" s="17"/>
      <x:c r="X46" s="17"/>
      <x:c r="Y46" s="17"/>
      <x:c r="Z46" s="13" t="str">
        <x:f>IF(COUNT(N46:Y46)=0,"",SUM(N46:Y46))</x:f>
      </x:c>
      <x:c r="AA46" s="20" t="str">
        <x:f>IF(OR($J46="",AND($Z46="",$I46="")),"",IF($Z46&lt;&gt;"",$Z46,$I46)*$J46)</x:f>
      </x:c>
      <x:c r="AB46" s="20" t="str">
        <x:f>IF(OR($K46="",AND($Z46="",$I46="")),"",IF($Z46&lt;&gt;"",$Z46,$I46)*$K46)</x:f>
      </x:c>
      <x:c r="AC46" s="21" t="str">
        <x:f>IF(OR($K46="",$L46="",$L46=0),"",($L46-$K46)/$L46)</x:f>
      </x:c>
      <x:c r="AD46" s="14"/>
      <x:c r="AE46" s="14"/>
      <x:c r="AF46" s="14"/>
      <x:c r="AG46" s="14"/>
      <x:c r="AH46" s="14"/>
      <x:c r="AI46" s="14"/>
      <x:c r="AJ46" s="14"/>
      <x:c r="AK46" s="14"/>
      <x:c r="AL46" s="14"/>
      <x:c r="AM46" s="14"/>
      <x:c r="AN46" s="14"/>
      <x:c r="AO46" s="14"/>
      <x:c r="AP46" s="14"/>
      <x:c r="AQ46" s="14"/>
      <x:c r="AR46" s="14"/>
      <x:c r="AS46" s="14"/>
      <x:c r="AT46" s="14"/>
      <x:c r="AU46" s="14"/>
      <x:c r="AV46" s="14"/>
      <x:c r="AW46" s="14"/>
      <x:c r="AX46" s="14"/>
      <x:c r="AY46" s="14"/>
      <x:c r="AZ46" s="14"/>
      <x:c r="BA46" s="10"/>
      <x:c r="BB46" s="10"/>
      <x:c r="BC46" s="10"/>
    </x:row>
    <x:row r="47">
      <x:c r="A47" s="10" t="str">
        <x:f>IF(COUNTA($B47:$M47)&gt;0,ROW()-4,"")</x:f>
      </x:c>
      <x:c r="B47" s="15"/>
      <x:c r="C47" s="10"/>
      <x:c r="D47" s="10"/>
      <x:c r="E47" s="10"/>
      <x:c r="F47" s="15"/>
      <x:c r="G47" s="15"/>
      <x:c r="H47" s="16"/>
      <x:c r="I47" s="16"/>
      <x:c r="J47" s="18"/>
      <x:c r="K47" s="19"/>
      <x:c r="L47" s="19"/>
      <x:c r="M47" s="22"/>
      <x:c r="N47" s="17"/>
      <x:c r="O47" s="17"/>
      <x:c r="P47" s="17"/>
      <x:c r="Q47" s="17"/>
      <x:c r="R47" s="17"/>
      <x:c r="S47" s="17"/>
      <x:c r="T47" s="17"/>
      <x:c r="U47" s="17"/>
      <x:c r="V47" s="17"/>
      <x:c r="W47" s="17"/>
      <x:c r="X47" s="17"/>
      <x:c r="Y47" s="17"/>
      <x:c r="Z47" s="13" t="str">
        <x:f>IF(COUNT(N47:Y47)=0,"",SUM(N47:Y47))</x:f>
      </x:c>
      <x:c r="AA47" s="20" t="str">
        <x:f>IF(OR($J47="",AND($Z47="",$I47="")),"",IF($Z47&lt;&gt;"",$Z47,$I47)*$J47)</x:f>
      </x:c>
      <x:c r="AB47" s="20" t="str">
        <x:f>IF(OR($K47="",AND($Z47="",$I47="")),"",IF($Z47&lt;&gt;"",$Z47,$I47)*$K47)</x:f>
      </x:c>
      <x:c r="AC47" s="21" t="str">
        <x:f>IF(OR($K47="",$L47="",$L47=0),"",($L47-$K47)/$L47)</x:f>
      </x:c>
      <x:c r="AD47" s="14"/>
      <x:c r="AE47" s="14"/>
      <x:c r="AF47" s="14"/>
      <x:c r="AG47" s="14"/>
      <x:c r="AH47" s="14"/>
      <x:c r="AI47" s="14"/>
      <x:c r="AJ47" s="14"/>
      <x:c r="AK47" s="14"/>
      <x:c r="AL47" s="14"/>
      <x:c r="AM47" s="14"/>
      <x:c r="AN47" s="14"/>
      <x:c r="AO47" s="14"/>
      <x:c r="AP47" s="14"/>
      <x:c r="AQ47" s="14"/>
      <x:c r="AR47" s="14"/>
      <x:c r="AS47" s="14"/>
      <x:c r="AT47" s="14"/>
      <x:c r="AU47" s="14"/>
      <x:c r="AV47" s="14"/>
      <x:c r="AW47" s="14"/>
      <x:c r="AX47" s="14"/>
      <x:c r="AY47" s="14"/>
      <x:c r="AZ47" s="14"/>
      <x:c r="BA47" s="10"/>
      <x:c r="BB47" s="10"/>
      <x:c r="BC47" s="10"/>
    </x:row>
    <x:row r="48">
      <x:c r="A48" s="10" t="str">
        <x:f>IF(COUNTA($B48:$M48)&gt;0,ROW()-4,"")</x:f>
      </x:c>
      <x:c r="B48" s="15"/>
      <x:c r="C48" s="10"/>
      <x:c r="D48" s="10"/>
      <x:c r="E48" s="10"/>
      <x:c r="F48" s="15"/>
      <x:c r="G48" s="15"/>
      <x:c r="H48" s="16"/>
      <x:c r="I48" s="16"/>
      <x:c r="J48" s="18"/>
      <x:c r="K48" s="19"/>
      <x:c r="L48" s="19"/>
      <x:c r="M48" s="22"/>
      <x:c r="N48" s="17"/>
      <x:c r="O48" s="17"/>
      <x:c r="P48" s="17"/>
      <x:c r="Q48" s="17"/>
      <x:c r="R48" s="17"/>
      <x:c r="S48" s="17"/>
      <x:c r="T48" s="17"/>
      <x:c r="U48" s="17"/>
      <x:c r="V48" s="17"/>
      <x:c r="W48" s="17"/>
      <x:c r="X48" s="17"/>
      <x:c r="Y48" s="17"/>
      <x:c r="Z48" s="13" t="str">
        <x:f>IF(COUNT(N48:Y48)=0,"",SUM(N48:Y48))</x:f>
      </x:c>
      <x:c r="AA48" s="20" t="str">
        <x:f>IF(OR($J48="",AND($Z48="",$I48="")),"",IF($Z48&lt;&gt;"",$Z48,$I48)*$J48)</x:f>
      </x:c>
      <x:c r="AB48" s="20" t="str">
        <x:f>IF(OR($K48="",AND($Z48="",$I48="")),"",IF($Z48&lt;&gt;"",$Z48,$I48)*$K48)</x:f>
      </x:c>
      <x:c r="AC48" s="21" t="str">
        <x:f>IF(OR($K48="",$L48="",$L48=0),"",($L48-$K48)/$L48)</x:f>
      </x:c>
      <x:c r="AD48" s="14"/>
      <x:c r="AE48" s="14"/>
      <x:c r="AF48" s="14"/>
      <x:c r="AG48" s="14"/>
      <x:c r="AH48" s="14"/>
      <x:c r="AI48" s="14"/>
      <x:c r="AJ48" s="14"/>
      <x:c r="AK48" s="14"/>
      <x:c r="AL48" s="14"/>
      <x:c r="AM48" s="14"/>
      <x:c r="AN48" s="14"/>
      <x:c r="AO48" s="14"/>
      <x:c r="AP48" s="14"/>
      <x:c r="AQ48" s="14"/>
      <x:c r="AR48" s="14"/>
      <x:c r="AS48" s="14"/>
      <x:c r="AT48" s="14"/>
      <x:c r="AU48" s="14"/>
      <x:c r="AV48" s="14"/>
      <x:c r="AW48" s="14"/>
      <x:c r="AX48" s="14"/>
      <x:c r="AY48" s="14"/>
      <x:c r="AZ48" s="14"/>
      <x:c r="BA48" s="10"/>
      <x:c r="BB48" s="10"/>
      <x:c r="BC48" s="10"/>
    </x:row>
    <x:row r="49">
      <x:c r="A49" s="10" t="str">
        <x:f>IF(COUNTA($B49:$M49)&gt;0,ROW()-4,"")</x:f>
      </x:c>
      <x:c r="B49" s="15"/>
      <x:c r="C49" s="10"/>
      <x:c r="D49" s="10"/>
      <x:c r="E49" s="10"/>
      <x:c r="F49" s="15"/>
      <x:c r="G49" s="15"/>
      <x:c r="H49" s="16"/>
      <x:c r="I49" s="16"/>
      <x:c r="J49" s="18"/>
      <x:c r="K49" s="19"/>
      <x:c r="L49" s="19"/>
      <x:c r="M49" s="22"/>
      <x:c r="N49" s="17"/>
      <x:c r="O49" s="17"/>
      <x:c r="P49" s="17"/>
      <x:c r="Q49" s="17"/>
      <x:c r="R49" s="17"/>
      <x:c r="S49" s="17"/>
      <x:c r="T49" s="17"/>
      <x:c r="U49" s="17"/>
      <x:c r="V49" s="17"/>
      <x:c r="W49" s="17"/>
      <x:c r="X49" s="17"/>
      <x:c r="Y49" s="17"/>
      <x:c r="Z49" s="13" t="str">
        <x:f>IF(COUNT(N49:Y49)=0,"",SUM(N49:Y49))</x:f>
      </x:c>
      <x:c r="AA49" s="20" t="str">
        <x:f>IF(OR($J49="",AND($Z49="",$I49="")),"",IF($Z49&lt;&gt;"",$Z49,$I49)*$J49)</x:f>
      </x:c>
      <x:c r="AB49" s="20" t="str">
        <x:f>IF(OR($K49="",AND($Z49="",$I49="")),"",IF($Z49&lt;&gt;"",$Z49,$I49)*$K49)</x:f>
      </x:c>
      <x:c r="AC49" s="21" t="str">
        <x:f>IF(OR($K49="",$L49="",$L49=0),"",($L49-$K49)/$L49)</x:f>
      </x:c>
      <x:c r="AD49" s="14"/>
      <x:c r="AE49" s="14"/>
      <x:c r="AF49" s="14"/>
      <x:c r="AG49" s="14"/>
      <x:c r="AH49" s="14"/>
      <x:c r="AI49" s="14"/>
      <x:c r="AJ49" s="14"/>
      <x:c r="AK49" s="14"/>
      <x:c r="AL49" s="14"/>
      <x:c r="AM49" s="14"/>
      <x:c r="AN49" s="14"/>
      <x:c r="AO49" s="14"/>
      <x:c r="AP49" s="14"/>
      <x:c r="AQ49" s="14"/>
      <x:c r="AR49" s="14"/>
      <x:c r="AS49" s="14"/>
      <x:c r="AT49" s="14"/>
      <x:c r="AU49" s="14"/>
      <x:c r="AV49" s="14"/>
      <x:c r="AW49" s="14"/>
      <x:c r="AX49" s="14"/>
      <x:c r="AY49" s="14"/>
      <x:c r="AZ49" s="14"/>
      <x:c r="BA49" s="10"/>
      <x:c r="BB49" s="10"/>
      <x:c r="BC49" s="10"/>
    </x:row>
    <x:row r="50">
      <x:c r="A50" s="10" t="str">
        <x:f>IF(COUNTA($B50:$M50)&gt;0,ROW()-4,"")</x:f>
      </x:c>
      <x:c r="B50" s="15"/>
      <x:c r="C50" s="10"/>
      <x:c r="D50" s="10"/>
      <x:c r="E50" s="10"/>
      <x:c r="F50" s="15"/>
      <x:c r="G50" s="15"/>
      <x:c r="H50" s="16"/>
      <x:c r="I50" s="16"/>
      <x:c r="J50" s="18"/>
      <x:c r="K50" s="19"/>
      <x:c r="L50" s="19"/>
      <x:c r="M50" s="22"/>
      <x:c r="N50" s="17"/>
      <x:c r="O50" s="17"/>
      <x:c r="P50" s="17"/>
      <x:c r="Q50" s="17"/>
      <x:c r="R50" s="17"/>
      <x:c r="S50" s="17"/>
      <x:c r="T50" s="17"/>
      <x:c r="U50" s="17"/>
      <x:c r="V50" s="17"/>
      <x:c r="W50" s="17"/>
      <x:c r="X50" s="17"/>
      <x:c r="Y50" s="17"/>
      <x:c r="Z50" s="13" t="str">
        <x:f>IF(COUNT(N50:Y50)=0,"",SUM(N50:Y50))</x:f>
      </x:c>
      <x:c r="AA50" s="20" t="str">
        <x:f>IF(OR($J50="",AND($Z50="",$I50="")),"",IF($Z50&lt;&gt;"",$Z50,$I50)*$J50)</x:f>
      </x:c>
      <x:c r="AB50" s="20" t="str">
        <x:f>IF(OR($K50="",AND($Z50="",$I50="")),"",IF($Z50&lt;&gt;"",$Z50,$I50)*$K50)</x:f>
      </x:c>
      <x:c r="AC50" s="21" t="str">
        <x:f>IF(OR($K50="",$L50="",$L50=0),"",($L50-$K50)/$L50)</x:f>
      </x:c>
      <x:c r="AD50" s="14"/>
      <x:c r="AE50" s="14"/>
      <x:c r="AF50" s="14"/>
      <x:c r="AG50" s="14"/>
      <x:c r="AH50" s="14"/>
      <x:c r="AI50" s="14"/>
      <x:c r="AJ50" s="14"/>
      <x:c r="AK50" s="14"/>
      <x:c r="AL50" s="14"/>
      <x:c r="AM50" s="14"/>
      <x:c r="AN50" s="14"/>
      <x:c r="AO50" s="14"/>
      <x:c r="AP50" s="14"/>
      <x:c r="AQ50" s="14"/>
      <x:c r="AR50" s="14"/>
      <x:c r="AS50" s="14"/>
      <x:c r="AT50" s="14"/>
      <x:c r="AU50" s="14"/>
      <x:c r="AV50" s="14"/>
      <x:c r="AW50" s="14"/>
      <x:c r="AX50" s="14"/>
      <x:c r="AY50" s="14"/>
      <x:c r="AZ50" s="14"/>
      <x:c r="BA50" s="10"/>
      <x:c r="BB50" s="10"/>
      <x:c r="BC50" s="10"/>
    </x:row>
    <x:row r="51">
      <x:c r="A51" s="10" t="str">
        <x:f>IF(COUNTA($B51:$M51)&gt;0,ROW()-4,"")</x:f>
      </x:c>
      <x:c r="B51" s="15"/>
      <x:c r="C51" s="10"/>
      <x:c r="D51" s="10"/>
      <x:c r="E51" s="10"/>
      <x:c r="F51" s="15"/>
      <x:c r="G51" s="15"/>
      <x:c r="H51" s="16"/>
      <x:c r="I51" s="16"/>
      <x:c r="J51" s="18"/>
      <x:c r="K51" s="19"/>
      <x:c r="L51" s="19"/>
      <x:c r="M51" s="22"/>
      <x:c r="N51" s="17"/>
      <x:c r="O51" s="17"/>
      <x:c r="P51" s="17"/>
      <x:c r="Q51" s="17"/>
      <x:c r="R51" s="17"/>
      <x:c r="S51" s="17"/>
      <x:c r="T51" s="17"/>
      <x:c r="U51" s="17"/>
      <x:c r="V51" s="17"/>
      <x:c r="W51" s="17"/>
      <x:c r="X51" s="17"/>
      <x:c r="Y51" s="17"/>
      <x:c r="Z51" s="13" t="str">
        <x:f>IF(COUNT(N51:Y51)=0,"",SUM(N51:Y51))</x:f>
      </x:c>
      <x:c r="AA51" s="20" t="str">
        <x:f>IF(OR($J51="",AND($Z51="",$I51="")),"",IF($Z51&lt;&gt;"",$Z51,$I51)*$J51)</x:f>
      </x:c>
      <x:c r="AB51" s="20" t="str">
        <x:f>IF(OR($K51="",AND($Z51="",$I51="")),"",IF($Z51&lt;&gt;"",$Z51,$I51)*$K51)</x:f>
      </x:c>
      <x:c r="AC51" s="21" t="str">
        <x:f>IF(OR($K51="",$L51="",$L51=0),"",($L51-$K51)/$L51)</x:f>
      </x:c>
      <x:c r="AD51" s="14"/>
      <x:c r="AE51" s="14"/>
      <x:c r="AF51" s="14"/>
      <x:c r="AG51" s="14"/>
      <x:c r="AH51" s="14"/>
      <x:c r="AI51" s="14"/>
      <x:c r="AJ51" s="14"/>
      <x:c r="AK51" s="14"/>
      <x:c r="AL51" s="14"/>
      <x:c r="AM51" s="14"/>
      <x:c r="AN51" s="14"/>
      <x:c r="AO51" s="14"/>
      <x:c r="AP51" s="14"/>
      <x:c r="AQ51" s="14"/>
      <x:c r="AR51" s="14"/>
      <x:c r="AS51" s="14"/>
      <x:c r="AT51" s="14"/>
      <x:c r="AU51" s="14"/>
      <x:c r="AV51" s="14"/>
      <x:c r="AW51" s="14"/>
      <x:c r="AX51" s="14"/>
      <x:c r="AY51" s="14"/>
      <x:c r="AZ51" s="14"/>
      <x:c r="BA51" s="10"/>
      <x:c r="BB51" s="10"/>
      <x:c r="BC51" s="10"/>
    </x:row>
    <x:row r="52">
      <x:c r="A52" s="10" t="str">
        <x:f>IF(COUNTA($B52:$M52)&gt;0,ROW()-4,"")</x:f>
      </x:c>
      <x:c r="B52" s="15"/>
      <x:c r="C52" s="10"/>
      <x:c r="D52" s="10"/>
      <x:c r="E52" s="10"/>
      <x:c r="F52" s="15"/>
      <x:c r="G52" s="15"/>
      <x:c r="H52" s="16"/>
      <x:c r="I52" s="16"/>
      <x:c r="J52" s="18"/>
      <x:c r="K52" s="19"/>
      <x:c r="L52" s="19"/>
      <x:c r="M52" s="22"/>
      <x:c r="N52" s="17"/>
      <x:c r="O52" s="17"/>
      <x:c r="P52" s="17"/>
      <x:c r="Q52" s="17"/>
      <x:c r="R52" s="17"/>
      <x:c r="S52" s="17"/>
      <x:c r="T52" s="17"/>
      <x:c r="U52" s="17"/>
      <x:c r="V52" s="17"/>
      <x:c r="W52" s="17"/>
      <x:c r="X52" s="17"/>
      <x:c r="Y52" s="17"/>
      <x:c r="Z52" s="13" t="str">
        <x:f>IF(COUNT(N52:Y52)=0,"",SUM(N52:Y52))</x:f>
      </x:c>
      <x:c r="AA52" s="20" t="str">
        <x:f>IF(OR($J52="",AND($Z52="",$I52="")),"",IF($Z52&lt;&gt;"",$Z52,$I52)*$J52)</x:f>
      </x:c>
      <x:c r="AB52" s="20" t="str">
        <x:f>IF(OR($K52="",AND($Z52="",$I52="")),"",IF($Z52&lt;&gt;"",$Z52,$I52)*$K52)</x:f>
      </x:c>
      <x:c r="AC52" s="21" t="str">
        <x:f>IF(OR($K52="",$L52="",$L52=0),"",($L52-$K52)/$L52)</x:f>
      </x:c>
      <x:c r="AD52" s="14"/>
      <x:c r="AE52" s="14"/>
      <x:c r="AF52" s="14"/>
      <x:c r="AG52" s="14"/>
      <x:c r="AH52" s="14"/>
      <x:c r="AI52" s="14"/>
      <x:c r="AJ52" s="14"/>
      <x:c r="AK52" s="14"/>
      <x:c r="AL52" s="14"/>
      <x:c r="AM52" s="14"/>
      <x:c r="AN52" s="14"/>
      <x:c r="AO52" s="14"/>
      <x:c r="AP52" s="14"/>
      <x:c r="AQ52" s="14"/>
      <x:c r="AR52" s="14"/>
      <x:c r="AS52" s="14"/>
      <x:c r="AT52" s="14"/>
      <x:c r="AU52" s="14"/>
      <x:c r="AV52" s="14"/>
      <x:c r="AW52" s="14"/>
      <x:c r="AX52" s="14"/>
      <x:c r="AY52" s="14"/>
      <x:c r="AZ52" s="14"/>
      <x:c r="BA52" s="10"/>
      <x:c r="BB52" s="10"/>
      <x:c r="BC52" s="10"/>
    </x:row>
    <x:row r="53">
      <x:c r="A53" s="10" t="str">
        <x:f>IF(COUNTA($B53:$M53)&gt;0,ROW()-4,"")</x:f>
      </x:c>
      <x:c r="B53" s="15"/>
      <x:c r="C53" s="10"/>
      <x:c r="D53" s="10"/>
      <x:c r="E53" s="10"/>
      <x:c r="F53" s="15"/>
      <x:c r="G53" s="15"/>
      <x:c r="H53" s="16"/>
      <x:c r="I53" s="16"/>
      <x:c r="J53" s="18"/>
      <x:c r="K53" s="19"/>
      <x:c r="L53" s="19"/>
      <x:c r="M53" s="22"/>
      <x:c r="N53" s="17"/>
      <x:c r="O53" s="17"/>
      <x:c r="P53" s="17"/>
      <x:c r="Q53" s="17"/>
      <x:c r="R53" s="17"/>
      <x:c r="S53" s="17"/>
      <x:c r="T53" s="17"/>
      <x:c r="U53" s="17"/>
      <x:c r="V53" s="17"/>
      <x:c r="W53" s="17"/>
      <x:c r="X53" s="17"/>
      <x:c r="Y53" s="17"/>
      <x:c r="Z53" s="13" t="str">
        <x:f>IF(COUNT(N53:Y53)=0,"",SUM(N53:Y53))</x:f>
      </x:c>
      <x:c r="AA53" s="20" t="str">
        <x:f>IF(OR($J53="",AND($Z53="",$I53="")),"",IF($Z53&lt;&gt;"",$Z53,$I53)*$J53)</x:f>
      </x:c>
      <x:c r="AB53" s="20" t="str">
        <x:f>IF(OR($K53="",AND($Z53="",$I53="")),"",IF($Z53&lt;&gt;"",$Z53,$I53)*$K53)</x:f>
      </x:c>
      <x:c r="AC53" s="21" t="str">
        <x:f>IF(OR($K53="",$L53="",$L53=0),"",($L53-$K53)/$L53)</x:f>
      </x:c>
      <x:c r="AD53" s="14"/>
      <x:c r="AE53" s="14"/>
      <x:c r="AF53" s="14"/>
      <x:c r="AG53" s="14"/>
      <x:c r="AH53" s="14"/>
      <x:c r="AI53" s="14"/>
      <x:c r="AJ53" s="14"/>
      <x:c r="AK53" s="14"/>
      <x:c r="AL53" s="14"/>
      <x:c r="AM53" s="14"/>
      <x:c r="AN53" s="14"/>
      <x:c r="AO53" s="14"/>
      <x:c r="AP53" s="14"/>
      <x:c r="AQ53" s="14"/>
      <x:c r="AR53" s="14"/>
      <x:c r="AS53" s="14"/>
      <x:c r="AT53" s="14"/>
      <x:c r="AU53" s="14"/>
      <x:c r="AV53" s="14"/>
      <x:c r="AW53" s="14"/>
      <x:c r="AX53" s="14"/>
      <x:c r="AY53" s="14"/>
      <x:c r="AZ53" s="14"/>
      <x:c r="BA53" s="10"/>
      <x:c r="BB53" s="10"/>
      <x:c r="BC53" s="10"/>
    </x:row>
    <x:row r="54">
      <x:c r="A54" s="10" t="str">
        <x:f>IF(COUNTA($B54:$M54)&gt;0,ROW()-4,"")</x:f>
      </x:c>
      <x:c r="B54" s="15"/>
      <x:c r="C54" s="10"/>
      <x:c r="D54" s="10"/>
      <x:c r="E54" s="10"/>
      <x:c r="F54" s="15"/>
      <x:c r="G54" s="15"/>
      <x:c r="H54" s="16"/>
      <x:c r="I54" s="16"/>
      <x:c r="J54" s="18"/>
      <x:c r="K54" s="19"/>
      <x:c r="L54" s="19"/>
      <x:c r="M54" s="22"/>
      <x:c r="N54" s="17"/>
      <x:c r="O54" s="17"/>
      <x:c r="P54" s="17"/>
      <x:c r="Q54" s="17"/>
      <x:c r="R54" s="17"/>
      <x:c r="S54" s="17"/>
      <x:c r="T54" s="17"/>
      <x:c r="U54" s="17"/>
      <x:c r="V54" s="17"/>
      <x:c r="W54" s="17"/>
      <x:c r="X54" s="17"/>
      <x:c r="Y54" s="17"/>
      <x:c r="Z54" s="13" t="str">
        <x:f>IF(COUNT(N54:Y54)=0,"",SUM(N54:Y54))</x:f>
      </x:c>
      <x:c r="AA54" s="20" t="str">
        <x:f>IF(OR($J54="",AND($Z54="",$I54="")),"",IF($Z54&lt;&gt;"",$Z54,$I54)*$J54)</x:f>
      </x:c>
      <x:c r="AB54" s="20" t="str">
        <x:f>IF(OR($K54="",AND($Z54="",$I54="")),"",IF($Z54&lt;&gt;"",$Z54,$I54)*$K54)</x:f>
      </x:c>
      <x:c r="AC54" s="21" t="str">
        <x:f>IF(OR($K54="",$L54="",$L54=0),"",($L54-$K54)/$L54)</x:f>
      </x:c>
      <x:c r="AD54" s="14"/>
      <x:c r="AE54" s="14"/>
      <x:c r="AF54" s="14"/>
      <x:c r="AG54" s="14"/>
      <x:c r="AH54" s="14"/>
      <x:c r="AI54" s="14"/>
      <x:c r="AJ54" s="14"/>
      <x:c r="AK54" s="14"/>
      <x:c r="AL54" s="14"/>
      <x:c r="AM54" s="14"/>
      <x:c r="AN54" s="14"/>
      <x:c r="AO54" s="14"/>
      <x:c r="AP54" s="14"/>
      <x:c r="AQ54" s="14"/>
      <x:c r="AR54" s="14"/>
      <x:c r="AS54" s="14"/>
      <x:c r="AT54" s="14"/>
      <x:c r="AU54" s="14"/>
      <x:c r="AV54" s="14"/>
      <x:c r="AW54" s="14"/>
      <x:c r="AX54" s="14"/>
      <x:c r="AY54" s="14"/>
      <x:c r="AZ54" s="14"/>
      <x:c r="BA54" s="10"/>
      <x:c r="BB54" s="10"/>
      <x:c r="BC54" s="10"/>
    </x:row>
    <x:row r="55">
      <x:c r="A55" s="10" t="str">
        <x:f>IF(COUNTA($B55:$M55)&gt;0,ROW()-4,"")</x:f>
      </x:c>
      <x:c r="B55" s="15"/>
      <x:c r="C55" s="10"/>
      <x:c r="D55" s="10"/>
      <x:c r="E55" s="10"/>
      <x:c r="F55" s="15"/>
      <x:c r="G55" s="15"/>
      <x:c r="H55" s="16"/>
      <x:c r="I55" s="16"/>
      <x:c r="J55" s="18"/>
      <x:c r="K55" s="19"/>
      <x:c r="L55" s="19"/>
      <x:c r="M55" s="22"/>
      <x:c r="N55" s="17"/>
      <x:c r="O55" s="17"/>
      <x:c r="P55" s="17"/>
      <x:c r="Q55" s="17"/>
      <x:c r="R55" s="17"/>
      <x:c r="S55" s="17"/>
      <x:c r="T55" s="17"/>
      <x:c r="U55" s="17"/>
      <x:c r="V55" s="17"/>
      <x:c r="W55" s="17"/>
      <x:c r="X55" s="17"/>
      <x:c r="Y55" s="17"/>
      <x:c r="Z55" s="13" t="str">
        <x:f>IF(COUNT(N55:Y55)=0,"",SUM(N55:Y55))</x:f>
      </x:c>
      <x:c r="AA55" s="20" t="str">
        <x:f>IF(OR($J55="",AND($Z55="",$I55="")),"",IF($Z55&lt;&gt;"",$Z55,$I55)*$J55)</x:f>
      </x:c>
      <x:c r="AB55" s="20" t="str">
        <x:f>IF(OR($K55="",AND($Z55="",$I55="")),"",IF($Z55&lt;&gt;"",$Z55,$I55)*$K55)</x:f>
      </x:c>
      <x:c r="AC55" s="21" t="str">
        <x:f>IF(OR($K55="",$L55="",$L55=0),"",($L55-$K55)/$L55)</x:f>
      </x:c>
      <x:c r="AD55" s="14"/>
      <x:c r="AE55" s="14"/>
      <x:c r="AF55" s="14"/>
      <x:c r="AG55" s="14"/>
      <x:c r="AH55" s="14"/>
      <x:c r="AI55" s="14"/>
      <x:c r="AJ55" s="14"/>
      <x:c r="AK55" s="14"/>
      <x:c r="AL55" s="14"/>
      <x:c r="AM55" s="14"/>
      <x:c r="AN55" s="14"/>
      <x:c r="AO55" s="14"/>
      <x:c r="AP55" s="14"/>
      <x:c r="AQ55" s="14"/>
      <x:c r="AR55" s="14"/>
      <x:c r="AS55" s="14"/>
      <x:c r="AT55" s="14"/>
      <x:c r="AU55" s="14"/>
      <x:c r="AV55" s="14"/>
      <x:c r="AW55" s="14"/>
      <x:c r="AX55" s="14"/>
      <x:c r="AY55" s="14"/>
      <x:c r="AZ55" s="14"/>
      <x:c r="BA55" s="10"/>
      <x:c r="BB55" s="10"/>
      <x:c r="BC55" s="10"/>
    </x:row>
    <x:row r="56">
      <x:c r="A56" s="10" t="str">
        <x:f>IF(COUNTA($B56:$M56)&gt;0,ROW()-4,"")</x:f>
      </x:c>
      <x:c r="B56" s="15"/>
      <x:c r="C56" s="10"/>
      <x:c r="D56" s="10"/>
      <x:c r="E56" s="10"/>
      <x:c r="F56" s="15"/>
      <x:c r="G56" s="15"/>
      <x:c r="H56" s="16"/>
      <x:c r="I56" s="16"/>
      <x:c r="J56" s="18"/>
      <x:c r="K56" s="19"/>
      <x:c r="L56" s="19"/>
      <x:c r="M56" s="22"/>
      <x:c r="N56" s="17"/>
      <x:c r="O56" s="17"/>
      <x:c r="P56" s="17"/>
      <x:c r="Q56" s="17"/>
      <x:c r="R56" s="17"/>
      <x:c r="S56" s="17"/>
      <x:c r="T56" s="17"/>
      <x:c r="U56" s="17"/>
      <x:c r="V56" s="17"/>
      <x:c r="W56" s="17"/>
      <x:c r="X56" s="17"/>
      <x:c r="Y56" s="17"/>
      <x:c r="Z56" s="13" t="str">
        <x:f>IF(COUNT(N56:Y56)=0,"",SUM(N56:Y56))</x:f>
      </x:c>
      <x:c r="AA56" s="20" t="str">
        <x:f>IF(OR($J56="",AND($Z56="",$I56="")),"",IF($Z56&lt;&gt;"",$Z56,$I56)*$J56)</x:f>
      </x:c>
      <x:c r="AB56" s="20" t="str">
        <x:f>IF(OR($K56="",AND($Z56="",$I56="")),"",IF($Z56&lt;&gt;"",$Z56,$I56)*$K56)</x:f>
      </x:c>
      <x:c r="AC56" s="21" t="str">
        <x:f>IF(OR($K56="",$L56="",$L56=0),"",($L56-$K56)/$L56)</x:f>
      </x:c>
      <x:c r="AD56" s="14"/>
      <x:c r="AE56" s="14"/>
      <x:c r="AF56" s="14"/>
      <x:c r="AG56" s="14"/>
      <x:c r="AH56" s="14"/>
      <x:c r="AI56" s="14"/>
      <x:c r="AJ56" s="14"/>
      <x:c r="AK56" s="14"/>
      <x:c r="AL56" s="14"/>
      <x:c r="AM56" s="14"/>
      <x:c r="AN56" s="14"/>
      <x:c r="AO56" s="14"/>
      <x:c r="AP56" s="14"/>
      <x:c r="AQ56" s="14"/>
      <x:c r="AR56" s="14"/>
      <x:c r="AS56" s="14"/>
      <x:c r="AT56" s="14"/>
      <x:c r="AU56" s="14"/>
      <x:c r="AV56" s="14"/>
      <x:c r="AW56" s="14"/>
      <x:c r="AX56" s="14"/>
      <x:c r="AY56" s="14"/>
      <x:c r="AZ56" s="14"/>
      <x:c r="BA56" s="10"/>
      <x:c r="BB56" s="10"/>
      <x:c r="BC56" s="10"/>
    </x:row>
    <x:row r="57">
      <x:c r="A57" s="10" t="str">
        <x:f>IF(COUNTA($B57:$M57)&gt;0,ROW()-4,"")</x:f>
      </x:c>
      <x:c r="B57" s="15"/>
      <x:c r="C57" s="10"/>
      <x:c r="D57" s="10"/>
      <x:c r="E57" s="10"/>
      <x:c r="F57" s="15"/>
      <x:c r="G57" s="15"/>
      <x:c r="H57" s="16"/>
      <x:c r="I57" s="16"/>
      <x:c r="J57" s="18"/>
      <x:c r="K57" s="19"/>
      <x:c r="L57" s="19"/>
      <x:c r="M57" s="22"/>
      <x:c r="N57" s="17"/>
      <x:c r="O57" s="17"/>
      <x:c r="P57" s="17"/>
      <x:c r="Q57" s="17"/>
      <x:c r="R57" s="17"/>
      <x:c r="S57" s="17"/>
      <x:c r="T57" s="17"/>
      <x:c r="U57" s="17"/>
      <x:c r="V57" s="17"/>
      <x:c r="W57" s="17"/>
      <x:c r="X57" s="17"/>
      <x:c r="Y57" s="17"/>
      <x:c r="Z57" s="13" t="str">
        <x:f>IF(COUNT(N57:Y57)=0,"",SUM(N57:Y57))</x:f>
      </x:c>
      <x:c r="AA57" s="20" t="str">
        <x:f>IF(OR($J57="",AND($Z57="",$I57="")),"",IF($Z57&lt;&gt;"",$Z57,$I57)*$J57)</x:f>
      </x:c>
      <x:c r="AB57" s="20" t="str">
        <x:f>IF(OR($K57="",AND($Z57="",$I57="")),"",IF($Z57&lt;&gt;"",$Z57,$I57)*$K57)</x:f>
      </x:c>
      <x:c r="AC57" s="21" t="str">
        <x:f>IF(OR($K57="",$L57="",$L57=0),"",($L57-$K57)/$L57)</x:f>
      </x:c>
      <x:c r="AD57" s="14"/>
      <x:c r="AE57" s="14"/>
      <x:c r="AF57" s="14"/>
      <x:c r="AG57" s="14"/>
      <x:c r="AH57" s="14"/>
      <x:c r="AI57" s="14"/>
      <x:c r="AJ57" s="14"/>
      <x:c r="AK57" s="14"/>
      <x:c r="AL57" s="14"/>
      <x:c r="AM57" s="14"/>
      <x:c r="AN57" s="14"/>
      <x:c r="AO57" s="14"/>
      <x:c r="AP57" s="14"/>
      <x:c r="AQ57" s="14"/>
      <x:c r="AR57" s="14"/>
      <x:c r="AS57" s="14"/>
      <x:c r="AT57" s="14"/>
      <x:c r="AU57" s="14"/>
      <x:c r="AV57" s="14"/>
      <x:c r="AW57" s="14"/>
      <x:c r="AX57" s="14"/>
      <x:c r="AY57" s="14"/>
      <x:c r="AZ57" s="14"/>
      <x:c r="BA57" s="10"/>
      <x:c r="BB57" s="10"/>
      <x:c r="BC57" s="10"/>
    </x:row>
    <x:row r="58">
      <x:c r="A58" s="10" t="str">
        <x:f>IF(COUNTA($B58:$M58)&gt;0,ROW()-4,"")</x:f>
      </x:c>
      <x:c r="B58" s="15"/>
      <x:c r="C58" s="10"/>
      <x:c r="D58" s="10"/>
      <x:c r="E58" s="10"/>
      <x:c r="F58" s="15"/>
      <x:c r="G58" s="15"/>
      <x:c r="H58" s="16"/>
      <x:c r="I58" s="16"/>
      <x:c r="J58" s="18"/>
      <x:c r="K58" s="19"/>
      <x:c r="L58" s="19"/>
      <x:c r="M58" s="22"/>
      <x:c r="N58" s="17"/>
      <x:c r="O58" s="17"/>
      <x:c r="P58" s="17"/>
      <x:c r="Q58" s="17"/>
      <x:c r="R58" s="17"/>
      <x:c r="S58" s="17"/>
      <x:c r="T58" s="17"/>
      <x:c r="U58" s="17"/>
      <x:c r="V58" s="17"/>
      <x:c r="W58" s="17"/>
      <x:c r="X58" s="17"/>
      <x:c r="Y58" s="17"/>
      <x:c r="Z58" s="13" t="str">
        <x:f>IF(COUNT(N58:Y58)=0,"",SUM(N58:Y58))</x:f>
      </x:c>
      <x:c r="AA58" s="20" t="str">
        <x:f>IF(OR($J58="",AND($Z58="",$I58="")),"",IF($Z58&lt;&gt;"",$Z58,$I58)*$J58)</x:f>
      </x:c>
      <x:c r="AB58" s="20" t="str">
        <x:f>IF(OR($K58="",AND($Z58="",$I58="")),"",IF($Z58&lt;&gt;"",$Z58,$I58)*$K58)</x:f>
      </x:c>
      <x:c r="AC58" s="21" t="str">
        <x:f>IF(OR($K58="",$L58="",$L58=0),"",($L58-$K58)/$L58)</x:f>
      </x:c>
      <x:c r="AD58" s="14"/>
      <x:c r="AE58" s="14"/>
      <x:c r="AF58" s="14"/>
      <x:c r="AG58" s="14"/>
      <x:c r="AH58" s="14"/>
      <x:c r="AI58" s="14"/>
      <x:c r="AJ58" s="14"/>
      <x:c r="AK58" s="14"/>
      <x:c r="AL58" s="14"/>
      <x:c r="AM58" s="14"/>
      <x:c r="AN58" s="14"/>
      <x:c r="AO58" s="14"/>
      <x:c r="AP58" s="14"/>
      <x:c r="AQ58" s="14"/>
      <x:c r="AR58" s="14"/>
      <x:c r="AS58" s="14"/>
      <x:c r="AT58" s="14"/>
      <x:c r="AU58" s="14"/>
      <x:c r="AV58" s="14"/>
      <x:c r="AW58" s="14"/>
      <x:c r="AX58" s="14"/>
      <x:c r="AY58" s="14"/>
      <x:c r="AZ58" s="14"/>
      <x:c r="BA58" s="10"/>
      <x:c r="BB58" s="10"/>
      <x:c r="BC58" s="10"/>
    </x:row>
    <x:row r="59">
      <x:c r="A59" s="10" t="str">
        <x:f>IF(COUNTA($B59:$M59)&gt;0,ROW()-4,"")</x:f>
      </x:c>
      <x:c r="B59" s="15"/>
      <x:c r="C59" s="10"/>
      <x:c r="D59" s="10"/>
      <x:c r="E59" s="10"/>
      <x:c r="F59" s="15"/>
      <x:c r="G59" s="15"/>
      <x:c r="H59" s="16"/>
      <x:c r="I59" s="16"/>
      <x:c r="J59" s="18"/>
      <x:c r="K59" s="19"/>
      <x:c r="L59" s="19"/>
      <x:c r="M59" s="22"/>
      <x:c r="N59" s="17"/>
      <x:c r="O59" s="17"/>
      <x:c r="P59" s="17"/>
      <x:c r="Q59" s="17"/>
      <x:c r="R59" s="17"/>
      <x:c r="S59" s="17"/>
      <x:c r="T59" s="17"/>
      <x:c r="U59" s="17"/>
      <x:c r="V59" s="17"/>
      <x:c r="W59" s="17"/>
      <x:c r="X59" s="17"/>
      <x:c r="Y59" s="17"/>
      <x:c r="Z59" s="13" t="str">
        <x:f>IF(COUNT(N59:Y59)=0,"",SUM(N59:Y59))</x:f>
      </x:c>
      <x:c r="AA59" s="20" t="str">
        <x:f>IF(OR($J59="",AND($Z59="",$I59="")),"",IF($Z59&lt;&gt;"",$Z59,$I59)*$J59)</x:f>
      </x:c>
      <x:c r="AB59" s="20" t="str">
        <x:f>IF(OR($K59="",AND($Z59="",$I59="")),"",IF($Z59&lt;&gt;"",$Z59,$I59)*$K59)</x:f>
      </x:c>
      <x:c r="AC59" s="21" t="str">
        <x:f>IF(OR($K59="",$L59="",$L59=0),"",($L59-$K59)/$L59)</x:f>
      </x:c>
      <x:c r="AD59" s="14"/>
      <x:c r="AE59" s="14"/>
      <x:c r="AF59" s="14"/>
      <x:c r="AG59" s="14"/>
      <x:c r="AH59" s="14"/>
      <x:c r="AI59" s="14"/>
      <x:c r="AJ59" s="14"/>
      <x:c r="AK59" s="14"/>
      <x:c r="AL59" s="14"/>
      <x:c r="AM59" s="14"/>
      <x:c r="AN59" s="14"/>
      <x:c r="AO59" s="14"/>
      <x:c r="AP59" s="14"/>
      <x:c r="AQ59" s="14"/>
      <x:c r="AR59" s="14"/>
      <x:c r="AS59" s="14"/>
      <x:c r="AT59" s="14"/>
      <x:c r="AU59" s="14"/>
      <x:c r="AV59" s="14"/>
      <x:c r="AW59" s="14"/>
      <x:c r="AX59" s="14"/>
      <x:c r="AY59" s="14"/>
      <x:c r="AZ59" s="14"/>
      <x:c r="BA59" s="10"/>
      <x:c r="BB59" s="10"/>
      <x:c r="BC59" s="10"/>
    </x:row>
    <x:row r="60">
      <x:c r="A60" s="10" t="str">
        <x:f>IF(COUNTA($B60:$M60)&gt;0,ROW()-4,"")</x:f>
      </x:c>
      <x:c r="B60" s="15"/>
      <x:c r="C60" s="10"/>
      <x:c r="D60" s="10"/>
      <x:c r="E60" s="10"/>
      <x:c r="F60" s="15"/>
      <x:c r="G60" s="15"/>
      <x:c r="H60" s="16"/>
      <x:c r="I60" s="16"/>
      <x:c r="J60" s="18"/>
      <x:c r="K60" s="19"/>
      <x:c r="L60" s="19"/>
      <x:c r="M60" s="22"/>
      <x:c r="N60" s="17"/>
      <x:c r="O60" s="17"/>
      <x:c r="P60" s="17"/>
      <x:c r="Q60" s="17"/>
      <x:c r="R60" s="17"/>
      <x:c r="S60" s="17"/>
      <x:c r="T60" s="17"/>
      <x:c r="U60" s="17"/>
      <x:c r="V60" s="17"/>
      <x:c r="W60" s="17"/>
      <x:c r="X60" s="17"/>
      <x:c r="Y60" s="17"/>
      <x:c r="Z60" s="13" t="str">
        <x:f>IF(COUNT(N60:Y60)=0,"",SUM(N60:Y60))</x:f>
      </x:c>
      <x:c r="AA60" s="20" t="str">
        <x:f>IF(OR($J60="",AND($Z60="",$I60="")),"",IF($Z60&lt;&gt;"",$Z60,$I60)*$J60)</x:f>
      </x:c>
      <x:c r="AB60" s="20" t="str">
        <x:f>IF(OR($K60="",AND($Z60="",$I60="")),"",IF($Z60&lt;&gt;"",$Z60,$I60)*$K60)</x:f>
      </x:c>
      <x:c r="AC60" s="21" t="str">
        <x:f>IF(OR($K60="",$L60="",$L60=0),"",($L60-$K60)/$L60)</x:f>
      </x:c>
      <x:c r="AD60" s="14"/>
      <x:c r="AE60" s="14"/>
      <x:c r="AF60" s="14"/>
      <x:c r="AG60" s="14"/>
      <x:c r="AH60" s="14"/>
      <x:c r="AI60" s="14"/>
      <x:c r="AJ60" s="14"/>
      <x:c r="AK60" s="14"/>
      <x:c r="AL60" s="14"/>
      <x:c r="AM60" s="14"/>
      <x:c r="AN60" s="14"/>
      <x:c r="AO60" s="14"/>
      <x:c r="AP60" s="14"/>
      <x:c r="AQ60" s="14"/>
      <x:c r="AR60" s="14"/>
      <x:c r="AS60" s="14"/>
      <x:c r="AT60" s="14"/>
      <x:c r="AU60" s="14"/>
      <x:c r="AV60" s="14"/>
      <x:c r="AW60" s="14"/>
      <x:c r="AX60" s="14"/>
      <x:c r="AY60" s="14"/>
      <x:c r="AZ60" s="14"/>
      <x:c r="BA60" s="10"/>
      <x:c r="BB60" s="10"/>
      <x:c r="BC60" s="10"/>
    </x:row>
    <x:row r="61">
      <x:c r="A61" s="10" t="str">
        <x:f>IF(COUNTA($B61:$M61)&gt;0,ROW()-4,"")</x:f>
      </x:c>
      <x:c r="B61" s="15"/>
      <x:c r="C61" s="10"/>
      <x:c r="D61" s="10"/>
      <x:c r="E61" s="10"/>
      <x:c r="F61" s="15"/>
      <x:c r="G61" s="15"/>
      <x:c r="H61" s="16"/>
      <x:c r="I61" s="16"/>
      <x:c r="J61" s="18"/>
      <x:c r="K61" s="19"/>
      <x:c r="L61" s="19"/>
      <x:c r="M61" s="22"/>
      <x:c r="N61" s="17"/>
      <x:c r="O61" s="17"/>
      <x:c r="P61" s="17"/>
      <x:c r="Q61" s="17"/>
      <x:c r="R61" s="17"/>
      <x:c r="S61" s="17"/>
      <x:c r="T61" s="17"/>
      <x:c r="U61" s="17"/>
      <x:c r="V61" s="17"/>
      <x:c r="W61" s="17"/>
      <x:c r="X61" s="17"/>
      <x:c r="Y61" s="17"/>
      <x:c r="Z61" s="13" t="str">
        <x:f>IF(COUNT(N61:Y61)=0,"",SUM(N61:Y61))</x:f>
      </x:c>
      <x:c r="AA61" s="20" t="str">
        <x:f>IF(OR($J61="",AND($Z61="",$I61="")),"",IF($Z61&lt;&gt;"",$Z61,$I61)*$J61)</x:f>
      </x:c>
      <x:c r="AB61" s="20" t="str">
        <x:f>IF(OR($K61="",AND($Z61="",$I61="")),"",IF($Z61&lt;&gt;"",$Z61,$I61)*$K61)</x:f>
      </x:c>
      <x:c r="AC61" s="21" t="str">
        <x:f>IF(OR($K61="",$L61="",$L61=0),"",($L61-$K61)/$L61)</x:f>
      </x:c>
      <x:c r="AD61" s="14"/>
      <x:c r="AE61" s="14"/>
      <x:c r="AF61" s="14"/>
      <x:c r="AG61" s="14"/>
      <x:c r="AH61" s="14"/>
      <x:c r="AI61" s="14"/>
      <x:c r="AJ61" s="14"/>
      <x:c r="AK61" s="14"/>
      <x:c r="AL61" s="14"/>
      <x:c r="AM61" s="14"/>
      <x:c r="AN61" s="14"/>
      <x:c r="AO61" s="14"/>
      <x:c r="AP61" s="14"/>
      <x:c r="AQ61" s="14"/>
      <x:c r="AR61" s="14"/>
      <x:c r="AS61" s="14"/>
      <x:c r="AT61" s="14"/>
      <x:c r="AU61" s="14"/>
      <x:c r="AV61" s="14"/>
      <x:c r="AW61" s="14"/>
      <x:c r="AX61" s="14"/>
      <x:c r="AY61" s="14"/>
      <x:c r="AZ61" s="14"/>
      <x:c r="BA61" s="10"/>
      <x:c r="BB61" s="10"/>
      <x:c r="BC61" s="10"/>
    </x:row>
    <x:row r="62">
      <x:c r="A62" s="10" t="str">
        <x:f>IF(COUNTA($B62:$M62)&gt;0,ROW()-4,"")</x:f>
      </x:c>
      <x:c r="B62" s="15"/>
      <x:c r="C62" s="10"/>
      <x:c r="D62" s="10"/>
      <x:c r="E62" s="10"/>
      <x:c r="F62" s="15"/>
      <x:c r="G62" s="15"/>
      <x:c r="H62" s="16"/>
      <x:c r="I62" s="16"/>
      <x:c r="J62" s="18"/>
      <x:c r="K62" s="19"/>
      <x:c r="L62" s="19"/>
      <x:c r="M62" s="22"/>
      <x:c r="N62" s="17"/>
      <x:c r="O62" s="17"/>
      <x:c r="P62" s="17"/>
      <x:c r="Q62" s="17"/>
      <x:c r="R62" s="17"/>
      <x:c r="S62" s="17"/>
      <x:c r="T62" s="17"/>
      <x:c r="U62" s="17"/>
      <x:c r="V62" s="17"/>
      <x:c r="W62" s="17"/>
      <x:c r="X62" s="17"/>
      <x:c r="Y62" s="17"/>
      <x:c r="Z62" s="13" t="str">
        <x:f>IF(COUNT(N62:Y62)=0,"",SUM(N62:Y62))</x:f>
      </x:c>
      <x:c r="AA62" s="20" t="str">
        <x:f>IF(OR($J62="",AND($Z62="",$I62="")),"",IF($Z62&lt;&gt;"",$Z62,$I62)*$J62)</x:f>
      </x:c>
      <x:c r="AB62" s="20" t="str">
        <x:f>IF(OR($K62="",AND($Z62="",$I62="")),"",IF($Z62&lt;&gt;"",$Z62,$I62)*$K62)</x:f>
      </x:c>
      <x:c r="AC62" s="21" t="str">
        <x:f>IF(OR($K62="",$L62="",$L62=0),"",($L62-$K62)/$L62)</x:f>
      </x:c>
      <x:c r="AD62" s="14"/>
      <x:c r="AE62" s="14"/>
      <x:c r="AF62" s="14"/>
      <x:c r="AG62" s="14"/>
      <x:c r="AH62" s="14"/>
      <x:c r="AI62" s="14"/>
      <x:c r="AJ62" s="14"/>
      <x:c r="AK62" s="14"/>
      <x:c r="AL62" s="14"/>
      <x:c r="AM62" s="14"/>
      <x:c r="AN62" s="14"/>
      <x:c r="AO62" s="14"/>
      <x:c r="AP62" s="14"/>
      <x:c r="AQ62" s="14"/>
      <x:c r="AR62" s="14"/>
      <x:c r="AS62" s="14"/>
      <x:c r="AT62" s="14"/>
      <x:c r="AU62" s="14"/>
      <x:c r="AV62" s="14"/>
      <x:c r="AW62" s="14"/>
      <x:c r="AX62" s="14"/>
      <x:c r="AY62" s="14"/>
      <x:c r="AZ62" s="14"/>
      <x:c r="BA62" s="10"/>
      <x:c r="BB62" s="10"/>
      <x:c r="BC62" s="10"/>
    </x:row>
    <x:row r="63">
      <x:c r="A63" s="10" t="str">
        <x:f>IF(COUNTA($B63:$M63)&gt;0,ROW()-4,"")</x:f>
      </x:c>
      <x:c r="B63" s="15"/>
      <x:c r="C63" s="10"/>
      <x:c r="D63" s="10"/>
      <x:c r="E63" s="10"/>
      <x:c r="F63" s="15"/>
      <x:c r="G63" s="15"/>
      <x:c r="H63" s="16"/>
      <x:c r="I63" s="16"/>
      <x:c r="J63" s="18"/>
      <x:c r="K63" s="19"/>
      <x:c r="L63" s="19"/>
      <x:c r="M63" s="22"/>
      <x:c r="N63" s="17"/>
      <x:c r="O63" s="17"/>
      <x:c r="P63" s="17"/>
      <x:c r="Q63" s="17"/>
      <x:c r="R63" s="17"/>
      <x:c r="S63" s="17"/>
      <x:c r="T63" s="17"/>
      <x:c r="U63" s="17"/>
      <x:c r="V63" s="17"/>
      <x:c r="W63" s="17"/>
      <x:c r="X63" s="17"/>
      <x:c r="Y63" s="17"/>
      <x:c r="Z63" s="13" t="str">
        <x:f>IF(COUNT(N63:Y63)=0,"",SUM(N63:Y63))</x:f>
      </x:c>
      <x:c r="AA63" s="20" t="str">
        <x:f>IF(OR($J63="",AND($Z63="",$I63="")),"",IF($Z63&lt;&gt;"",$Z63,$I63)*$J63)</x:f>
      </x:c>
      <x:c r="AB63" s="20" t="str">
        <x:f>IF(OR($K63="",AND($Z63="",$I63="")),"",IF($Z63&lt;&gt;"",$Z63,$I63)*$K63)</x:f>
      </x:c>
      <x:c r="AC63" s="21" t="str">
        <x:f>IF(OR($K63="",$L63="",$L63=0),"",($L63-$K63)/$L63)</x:f>
      </x:c>
      <x:c r="AD63" s="14"/>
      <x:c r="AE63" s="14"/>
      <x:c r="AF63" s="14"/>
      <x:c r="AG63" s="14"/>
      <x:c r="AH63" s="14"/>
      <x:c r="AI63" s="14"/>
      <x:c r="AJ63" s="14"/>
      <x:c r="AK63" s="14"/>
      <x:c r="AL63" s="14"/>
      <x:c r="AM63" s="14"/>
      <x:c r="AN63" s="14"/>
      <x:c r="AO63" s="14"/>
      <x:c r="AP63" s="14"/>
      <x:c r="AQ63" s="14"/>
      <x:c r="AR63" s="14"/>
      <x:c r="AS63" s="14"/>
      <x:c r="AT63" s="14"/>
      <x:c r="AU63" s="14"/>
      <x:c r="AV63" s="14"/>
      <x:c r="AW63" s="14"/>
      <x:c r="AX63" s="14"/>
      <x:c r="AY63" s="14"/>
      <x:c r="AZ63" s="14"/>
      <x:c r="BA63" s="10"/>
      <x:c r="BB63" s="10"/>
      <x:c r="BC63" s="10"/>
    </x:row>
    <x:row r="64">
      <x:c r="A64" s="10" t="str">
        <x:f>IF(COUNTA($B64:$M64)&gt;0,ROW()-4,"")</x:f>
      </x:c>
      <x:c r="B64" s="15"/>
      <x:c r="C64" s="10"/>
      <x:c r="D64" s="10"/>
      <x:c r="E64" s="10"/>
      <x:c r="F64" s="15"/>
      <x:c r="G64" s="15"/>
      <x:c r="H64" s="16"/>
      <x:c r="I64" s="16"/>
      <x:c r="J64" s="18"/>
      <x:c r="K64" s="19"/>
      <x:c r="L64" s="19"/>
      <x:c r="M64" s="22"/>
      <x:c r="N64" s="17"/>
      <x:c r="O64" s="17"/>
      <x:c r="P64" s="17"/>
      <x:c r="Q64" s="17"/>
      <x:c r="R64" s="17"/>
      <x:c r="S64" s="17"/>
      <x:c r="T64" s="17"/>
      <x:c r="U64" s="17"/>
      <x:c r="V64" s="17"/>
      <x:c r="W64" s="17"/>
      <x:c r="X64" s="17"/>
      <x:c r="Y64" s="17"/>
      <x:c r="Z64" s="13" t="str">
        <x:f>IF(COUNT(N64:Y64)=0,"",SUM(N64:Y64))</x:f>
      </x:c>
      <x:c r="AA64" s="20" t="str">
        <x:f>IF(OR($J64="",AND($Z64="",$I64="")),"",IF($Z64&lt;&gt;"",$Z64,$I64)*$J64)</x:f>
      </x:c>
      <x:c r="AB64" s="20" t="str">
        <x:f>IF(OR($K64="",AND($Z64="",$I64="")),"",IF($Z64&lt;&gt;"",$Z64,$I64)*$K64)</x:f>
      </x:c>
      <x:c r="AC64" s="21" t="str">
        <x:f>IF(OR($K64="",$L64="",$L64=0),"",($L64-$K64)/$L64)</x:f>
      </x:c>
      <x:c r="AD64" s="14"/>
      <x:c r="AE64" s="14"/>
      <x:c r="AF64" s="14"/>
      <x:c r="AG64" s="14"/>
      <x:c r="AH64" s="14"/>
      <x:c r="AI64" s="14"/>
      <x:c r="AJ64" s="14"/>
      <x:c r="AK64" s="14"/>
      <x:c r="AL64" s="14"/>
      <x:c r="AM64" s="14"/>
      <x:c r="AN64" s="14"/>
      <x:c r="AO64" s="14"/>
      <x:c r="AP64" s="14"/>
      <x:c r="AQ64" s="14"/>
      <x:c r="AR64" s="14"/>
      <x:c r="AS64" s="14"/>
      <x:c r="AT64" s="14"/>
      <x:c r="AU64" s="14"/>
      <x:c r="AV64" s="14"/>
      <x:c r="AW64" s="14"/>
      <x:c r="AX64" s="14"/>
      <x:c r="AY64" s="14"/>
      <x:c r="AZ64" s="14"/>
      <x:c r="BA64" s="10"/>
      <x:c r="BB64" s="10"/>
      <x:c r="BC64" s="10"/>
    </x:row>
    <x:row r="65">
      <x:c r="A65" s="10" t="str">
        <x:f>IF(COUNTA($B65:$M65)&gt;0,ROW()-4,"")</x:f>
      </x:c>
      <x:c r="B65" s="15"/>
      <x:c r="C65" s="10"/>
      <x:c r="D65" s="10"/>
      <x:c r="E65" s="10"/>
      <x:c r="F65" s="15"/>
      <x:c r="G65" s="15"/>
      <x:c r="H65" s="16"/>
      <x:c r="I65" s="16"/>
      <x:c r="J65" s="18"/>
      <x:c r="K65" s="19"/>
      <x:c r="L65" s="19"/>
      <x:c r="M65" s="22"/>
      <x:c r="N65" s="17"/>
      <x:c r="O65" s="17"/>
      <x:c r="P65" s="17"/>
      <x:c r="Q65" s="17"/>
      <x:c r="R65" s="17"/>
      <x:c r="S65" s="17"/>
      <x:c r="T65" s="17"/>
      <x:c r="U65" s="17"/>
      <x:c r="V65" s="17"/>
      <x:c r="W65" s="17"/>
      <x:c r="X65" s="17"/>
      <x:c r="Y65" s="17"/>
      <x:c r="Z65" s="13" t="str">
        <x:f>IF(COUNT(N65:Y65)=0,"",SUM(N65:Y65))</x:f>
      </x:c>
      <x:c r="AA65" s="20" t="str">
        <x:f>IF(OR($J65="",AND($Z65="",$I65="")),"",IF($Z65&lt;&gt;"",$Z65,$I65)*$J65)</x:f>
      </x:c>
      <x:c r="AB65" s="20" t="str">
        <x:f>IF(OR($K65="",AND($Z65="",$I65="")),"",IF($Z65&lt;&gt;"",$Z65,$I65)*$K65)</x:f>
      </x:c>
      <x:c r="AC65" s="21" t="str">
        <x:f>IF(OR($K65="",$L65="",$L65=0),"",($L65-$K65)/$L65)</x:f>
      </x:c>
      <x:c r="AD65" s="14"/>
      <x:c r="AE65" s="14"/>
      <x:c r="AF65" s="14"/>
      <x:c r="AG65" s="14"/>
      <x:c r="AH65" s="14"/>
      <x:c r="AI65" s="14"/>
      <x:c r="AJ65" s="14"/>
      <x:c r="AK65" s="14"/>
      <x:c r="AL65" s="14"/>
      <x:c r="AM65" s="14"/>
      <x:c r="AN65" s="14"/>
      <x:c r="AO65" s="14"/>
      <x:c r="AP65" s="14"/>
      <x:c r="AQ65" s="14"/>
      <x:c r="AR65" s="14"/>
      <x:c r="AS65" s="14"/>
      <x:c r="AT65" s="14"/>
      <x:c r="AU65" s="14"/>
      <x:c r="AV65" s="14"/>
      <x:c r="AW65" s="14"/>
      <x:c r="AX65" s="14"/>
      <x:c r="AY65" s="14"/>
      <x:c r="AZ65" s="14"/>
      <x:c r="BA65" s="10"/>
      <x:c r="BB65" s="10"/>
      <x:c r="BC65" s="10"/>
    </x:row>
    <x:row r="66">
      <x:c r="A66" s="10" t="str">
        <x:f>IF(COUNTA($B66:$M66)&gt;0,ROW()-4,"")</x:f>
      </x:c>
      <x:c r="B66" s="15"/>
      <x:c r="C66" s="10"/>
      <x:c r="D66" s="10"/>
      <x:c r="E66" s="10"/>
      <x:c r="F66" s="15"/>
      <x:c r="G66" s="15"/>
      <x:c r="H66" s="16"/>
      <x:c r="I66" s="16"/>
      <x:c r="J66" s="18"/>
      <x:c r="K66" s="19"/>
      <x:c r="L66" s="19"/>
      <x:c r="M66" s="22"/>
      <x:c r="N66" s="17"/>
      <x:c r="O66" s="17"/>
      <x:c r="P66" s="17"/>
      <x:c r="Q66" s="17"/>
      <x:c r="R66" s="17"/>
      <x:c r="S66" s="17"/>
      <x:c r="T66" s="17"/>
      <x:c r="U66" s="17"/>
      <x:c r="V66" s="17"/>
      <x:c r="W66" s="17"/>
      <x:c r="X66" s="17"/>
      <x:c r="Y66" s="17"/>
      <x:c r="Z66" s="13" t="str">
        <x:f>IF(COUNT(N66:Y66)=0,"",SUM(N66:Y66))</x:f>
      </x:c>
      <x:c r="AA66" s="20" t="str">
        <x:f>IF(OR($J66="",AND($Z66="",$I66="")),"",IF($Z66&lt;&gt;"",$Z66,$I66)*$J66)</x:f>
      </x:c>
      <x:c r="AB66" s="20" t="str">
        <x:f>IF(OR($K66="",AND($Z66="",$I66="")),"",IF($Z66&lt;&gt;"",$Z66,$I66)*$K66)</x:f>
      </x:c>
      <x:c r="AC66" s="21" t="str">
        <x:f>IF(OR($K66="",$L66="",$L66=0),"",($L66-$K66)/$L66)</x:f>
      </x:c>
      <x:c r="AD66" s="14"/>
      <x:c r="AE66" s="14"/>
      <x:c r="AF66" s="14"/>
      <x:c r="AG66" s="14"/>
      <x:c r="AH66" s="14"/>
      <x:c r="AI66" s="14"/>
      <x:c r="AJ66" s="14"/>
      <x:c r="AK66" s="14"/>
      <x:c r="AL66" s="14"/>
      <x:c r="AM66" s="14"/>
      <x:c r="AN66" s="14"/>
      <x:c r="AO66" s="14"/>
      <x:c r="AP66" s="14"/>
      <x:c r="AQ66" s="14"/>
      <x:c r="AR66" s="14"/>
      <x:c r="AS66" s="14"/>
      <x:c r="AT66" s="14"/>
      <x:c r="AU66" s="14"/>
      <x:c r="AV66" s="14"/>
      <x:c r="AW66" s="14"/>
      <x:c r="AX66" s="14"/>
      <x:c r="AY66" s="14"/>
      <x:c r="AZ66" s="14"/>
      <x:c r="BA66" s="10"/>
      <x:c r="BB66" s="10"/>
      <x:c r="BC66" s="10"/>
    </x:row>
    <x:row r="67">
      <x:c r="A67" s="10" t="str">
        <x:f>IF(COUNTA($B67:$M67)&gt;0,ROW()-4,"")</x:f>
      </x:c>
      <x:c r="B67" s="15"/>
      <x:c r="C67" s="10"/>
      <x:c r="D67" s="10"/>
      <x:c r="E67" s="10"/>
      <x:c r="F67" s="15"/>
      <x:c r="G67" s="15"/>
      <x:c r="H67" s="16"/>
      <x:c r="I67" s="16"/>
      <x:c r="J67" s="18"/>
      <x:c r="K67" s="19"/>
      <x:c r="L67" s="19"/>
      <x:c r="M67" s="22"/>
      <x:c r="N67" s="17"/>
      <x:c r="O67" s="17"/>
      <x:c r="P67" s="17"/>
      <x:c r="Q67" s="17"/>
      <x:c r="R67" s="17"/>
      <x:c r="S67" s="17"/>
      <x:c r="T67" s="17"/>
      <x:c r="U67" s="17"/>
      <x:c r="V67" s="17"/>
      <x:c r="W67" s="17"/>
      <x:c r="X67" s="17"/>
      <x:c r="Y67" s="17"/>
      <x:c r="Z67" s="13" t="str">
        <x:f>IF(COUNT(N67:Y67)=0,"",SUM(N67:Y67))</x:f>
      </x:c>
      <x:c r="AA67" s="20" t="str">
        <x:f>IF(OR($J67="",AND($Z67="",$I67="")),"",IF($Z67&lt;&gt;"",$Z67,$I67)*$J67)</x:f>
      </x:c>
      <x:c r="AB67" s="20" t="str">
        <x:f>IF(OR($K67="",AND($Z67="",$I67="")),"",IF($Z67&lt;&gt;"",$Z67,$I67)*$K67)</x:f>
      </x:c>
      <x:c r="AC67" s="21" t="str">
        <x:f>IF(OR($K67="",$L67="",$L67=0),"",($L67-$K67)/$L67)</x:f>
      </x:c>
      <x:c r="AD67" s="14"/>
      <x:c r="AE67" s="14"/>
      <x:c r="AF67" s="14"/>
      <x:c r="AG67" s="14"/>
      <x:c r="AH67" s="14"/>
      <x:c r="AI67" s="14"/>
      <x:c r="AJ67" s="14"/>
      <x:c r="AK67" s="14"/>
      <x:c r="AL67" s="14"/>
      <x:c r="AM67" s="14"/>
      <x:c r="AN67" s="14"/>
      <x:c r="AO67" s="14"/>
      <x:c r="AP67" s="14"/>
      <x:c r="AQ67" s="14"/>
      <x:c r="AR67" s="14"/>
      <x:c r="AS67" s="14"/>
      <x:c r="AT67" s="14"/>
      <x:c r="AU67" s="14"/>
      <x:c r="AV67" s="14"/>
      <x:c r="AW67" s="14"/>
      <x:c r="AX67" s="14"/>
      <x:c r="AY67" s="14"/>
      <x:c r="AZ67" s="14"/>
      <x:c r="BA67" s="10"/>
      <x:c r="BB67" s="10"/>
      <x:c r="BC67" s="10"/>
    </x:row>
    <x:row r="68">
      <x:c r="A68" s="10" t="str">
        <x:f>IF(COUNTA($B68:$M68)&gt;0,ROW()-4,"")</x:f>
      </x:c>
      <x:c r="B68" s="15"/>
      <x:c r="C68" s="10"/>
      <x:c r="D68" s="10"/>
      <x:c r="E68" s="10"/>
      <x:c r="F68" s="15"/>
      <x:c r="G68" s="15"/>
      <x:c r="H68" s="16"/>
      <x:c r="I68" s="16"/>
      <x:c r="J68" s="18"/>
      <x:c r="K68" s="19"/>
      <x:c r="L68" s="19"/>
      <x:c r="M68" s="22"/>
      <x:c r="N68" s="17"/>
      <x:c r="O68" s="17"/>
      <x:c r="P68" s="17"/>
      <x:c r="Q68" s="17"/>
      <x:c r="R68" s="17"/>
      <x:c r="S68" s="17"/>
      <x:c r="T68" s="17"/>
      <x:c r="U68" s="17"/>
      <x:c r="V68" s="17"/>
      <x:c r="W68" s="17"/>
      <x:c r="X68" s="17"/>
      <x:c r="Y68" s="17"/>
      <x:c r="Z68" s="13" t="str">
        <x:f>IF(COUNT(N68:Y68)=0,"",SUM(N68:Y68))</x:f>
      </x:c>
      <x:c r="AA68" s="20" t="str">
        <x:f>IF(OR($J68="",AND($Z68="",$I68="")),"",IF($Z68&lt;&gt;"",$Z68,$I68)*$J68)</x:f>
      </x:c>
      <x:c r="AB68" s="20" t="str">
        <x:f>IF(OR($K68="",AND($Z68="",$I68="")),"",IF($Z68&lt;&gt;"",$Z68,$I68)*$K68)</x:f>
      </x:c>
      <x:c r="AC68" s="21" t="str">
        <x:f>IF(OR($K68="",$L68="",$L68=0),"",($L68-$K68)/$L68)</x:f>
      </x:c>
      <x:c r="AD68" s="14"/>
      <x:c r="AE68" s="14"/>
      <x:c r="AF68" s="14"/>
      <x:c r="AG68" s="14"/>
      <x:c r="AH68" s="14"/>
      <x:c r="AI68" s="14"/>
      <x:c r="AJ68" s="14"/>
      <x:c r="AK68" s="14"/>
      <x:c r="AL68" s="14"/>
      <x:c r="AM68" s="14"/>
      <x:c r="AN68" s="14"/>
      <x:c r="AO68" s="14"/>
      <x:c r="AP68" s="14"/>
      <x:c r="AQ68" s="14"/>
      <x:c r="AR68" s="14"/>
      <x:c r="AS68" s="14"/>
      <x:c r="AT68" s="14"/>
      <x:c r="AU68" s="14"/>
      <x:c r="AV68" s="14"/>
      <x:c r="AW68" s="14"/>
      <x:c r="AX68" s="14"/>
      <x:c r="AY68" s="14"/>
      <x:c r="AZ68" s="14"/>
      <x:c r="BA68" s="10"/>
      <x:c r="BB68" s="10"/>
      <x:c r="BC68" s="10"/>
    </x:row>
    <x:row r="69">
      <x:c r="A69" s="10" t="str">
        <x:f>IF(COUNTA($B69:$M69)&gt;0,ROW()-4,"")</x:f>
      </x:c>
      <x:c r="B69" s="15"/>
      <x:c r="C69" s="10"/>
      <x:c r="D69" s="10"/>
      <x:c r="E69" s="10"/>
      <x:c r="F69" s="15"/>
      <x:c r="G69" s="15"/>
      <x:c r="H69" s="16"/>
      <x:c r="I69" s="16"/>
      <x:c r="J69" s="18"/>
      <x:c r="K69" s="19"/>
      <x:c r="L69" s="19"/>
      <x:c r="M69" s="22"/>
      <x:c r="N69" s="17"/>
      <x:c r="O69" s="17"/>
      <x:c r="P69" s="17"/>
      <x:c r="Q69" s="17"/>
      <x:c r="R69" s="17"/>
      <x:c r="S69" s="17"/>
      <x:c r="T69" s="17"/>
      <x:c r="U69" s="17"/>
      <x:c r="V69" s="17"/>
      <x:c r="W69" s="17"/>
      <x:c r="X69" s="17"/>
      <x:c r="Y69" s="17"/>
      <x:c r="Z69" s="13" t="str">
        <x:f>IF(COUNT(N69:Y69)=0,"",SUM(N69:Y69))</x:f>
      </x:c>
      <x:c r="AA69" s="20" t="str">
        <x:f>IF(OR($J69="",AND($Z69="",$I69="")),"",IF($Z69&lt;&gt;"",$Z69,$I69)*$J69)</x:f>
      </x:c>
      <x:c r="AB69" s="20" t="str">
        <x:f>IF(OR($K69="",AND($Z69="",$I69="")),"",IF($Z69&lt;&gt;"",$Z69,$I69)*$K69)</x:f>
      </x:c>
      <x:c r="AC69" s="21" t="str">
        <x:f>IF(OR($K69="",$L69="",$L69=0),"",($L69-$K69)/$L69)</x:f>
      </x:c>
      <x:c r="AD69" s="14"/>
      <x:c r="AE69" s="14"/>
      <x:c r="AF69" s="14"/>
      <x:c r="AG69" s="14"/>
      <x:c r="AH69" s="14"/>
      <x:c r="AI69" s="14"/>
      <x:c r="AJ69" s="14"/>
      <x:c r="AK69" s="14"/>
      <x:c r="AL69" s="14"/>
      <x:c r="AM69" s="14"/>
      <x:c r="AN69" s="14"/>
      <x:c r="AO69" s="14"/>
      <x:c r="AP69" s="14"/>
      <x:c r="AQ69" s="14"/>
      <x:c r="AR69" s="14"/>
      <x:c r="AS69" s="14"/>
      <x:c r="AT69" s="14"/>
      <x:c r="AU69" s="14"/>
      <x:c r="AV69" s="14"/>
      <x:c r="AW69" s="14"/>
      <x:c r="AX69" s="14"/>
      <x:c r="AY69" s="14"/>
      <x:c r="AZ69" s="14"/>
      <x:c r="BA69" s="10"/>
      <x:c r="BB69" s="10"/>
      <x:c r="BC69" s="10"/>
    </x:row>
    <x:row r="70">
      <x:c r="A70" s="10" t="str">
        <x:f>IF(COUNTA($B70:$M70)&gt;0,ROW()-4,"")</x:f>
      </x:c>
      <x:c r="B70" s="15"/>
      <x:c r="C70" s="10"/>
      <x:c r="D70" s="10"/>
      <x:c r="E70" s="10"/>
      <x:c r="F70" s="15"/>
      <x:c r="G70" s="15"/>
      <x:c r="H70" s="16"/>
      <x:c r="I70" s="16"/>
      <x:c r="J70" s="18"/>
      <x:c r="K70" s="19"/>
      <x:c r="L70" s="19"/>
      <x:c r="M70" s="22"/>
      <x:c r="N70" s="17"/>
      <x:c r="O70" s="17"/>
      <x:c r="P70" s="17"/>
      <x:c r="Q70" s="17"/>
      <x:c r="R70" s="17"/>
      <x:c r="S70" s="17"/>
      <x:c r="T70" s="17"/>
      <x:c r="U70" s="17"/>
      <x:c r="V70" s="17"/>
      <x:c r="W70" s="17"/>
      <x:c r="X70" s="17"/>
      <x:c r="Y70" s="17"/>
      <x:c r="Z70" s="13" t="str">
        <x:f>IF(COUNT(N70:Y70)=0,"",SUM(N70:Y70))</x:f>
      </x:c>
      <x:c r="AA70" s="20" t="str">
        <x:f>IF(OR($J70="",AND($Z70="",$I70="")),"",IF($Z70&lt;&gt;"",$Z70,$I70)*$J70)</x:f>
      </x:c>
      <x:c r="AB70" s="20" t="str">
        <x:f>IF(OR($K70="",AND($Z70="",$I70="")),"",IF($Z70&lt;&gt;"",$Z70,$I70)*$K70)</x:f>
      </x:c>
      <x:c r="AC70" s="21" t="str">
        <x:f>IF(OR($K70="",$L70="",$L70=0),"",($L70-$K70)/$L70)</x:f>
      </x:c>
      <x:c r="AD70" s="14"/>
      <x:c r="AE70" s="14"/>
      <x:c r="AF70" s="14"/>
      <x:c r="AG70" s="14"/>
      <x:c r="AH70" s="14"/>
      <x:c r="AI70" s="14"/>
      <x:c r="AJ70" s="14"/>
      <x:c r="AK70" s="14"/>
      <x:c r="AL70" s="14"/>
      <x:c r="AM70" s="14"/>
      <x:c r="AN70" s="14"/>
      <x:c r="AO70" s="14"/>
      <x:c r="AP70" s="14"/>
      <x:c r="AQ70" s="14"/>
      <x:c r="AR70" s="14"/>
      <x:c r="AS70" s="14"/>
      <x:c r="AT70" s="14"/>
      <x:c r="AU70" s="14"/>
      <x:c r="AV70" s="14"/>
      <x:c r="AW70" s="14"/>
      <x:c r="AX70" s="14"/>
      <x:c r="AY70" s="14"/>
      <x:c r="AZ70" s="14"/>
      <x:c r="BA70" s="10"/>
      <x:c r="BB70" s="10"/>
      <x:c r="BC70" s="10"/>
    </x:row>
    <x:row r="71">
      <x:c r="A71" s="10" t="str">
        <x:f>IF(COUNTA($B71:$M71)&gt;0,ROW()-4,"")</x:f>
      </x:c>
      <x:c r="B71" s="15"/>
      <x:c r="C71" s="10"/>
      <x:c r="D71" s="10"/>
      <x:c r="E71" s="10"/>
      <x:c r="F71" s="15"/>
      <x:c r="G71" s="15"/>
      <x:c r="H71" s="16"/>
      <x:c r="I71" s="16"/>
      <x:c r="J71" s="18"/>
      <x:c r="K71" s="19"/>
      <x:c r="L71" s="19"/>
      <x:c r="M71" s="22"/>
      <x:c r="N71" s="17"/>
      <x:c r="O71" s="17"/>
      <x:c r="P71" s="17"/>
      <x:c r="Q71" s="17"/>
      <x:c r="R71" s="17"/>
      <x:c r="S71" s="17"/>
      <x:c r="T71" s="17"/>
      <x:c r="U71" s="17"/>
      <x:c r="V71" s="17"/>
      <x:c r="W71" s="17"/>
      <x:c r="X71" s="17"/>
      <x:c r="Y71" s="17"/>
      <x:c r="Z71" s="13" t="str">
        <x:f>IF(COUNT(N71:Y71)=0,"",SUM(N71:Y71))</x:f>
      </x:c>
      <x:c r="AA71" s="20" t="str">
        <x:f>IF(OR($J71="",AND($Z71="",$I71="")),"",IF($Z71&lt;&gt;"",$Z71,$I71)*$J71)</x:f>
      </x:c>
      <x:c r="AB71" s="20" t="str">
        <x:f>IF(OR($K71="",AND($Z71="",$I71="")),"",IF($Z71&lt;&gt;"",$Z71,$I71)*$K71)</x:f>
      </x:c>
      <x:c r="AC71" s="21" t="str">
        <x:f>IF(OR($K71="",$L71="",$L71=0),"",($L71-$K71)/$L71)</x:f>
      </x:c>
      <x:c r="AD71" s="14"/>
      <x:c r="AE71" s="14"/>
      <x:c r="AF71" s="14"/>
      <x:c r="AG71" s="14"/>
      <x:c r="AH71" s="14"/>
      <x:c r="AI71" s="14"/>
      <x:c r="AJ71" s="14"/>
      <x:c r="AK71" s="14"/>
      <x:c r="AL71" s="14"/>
      <x:c r="AM71" s="14"/>
      <x:c r="AN71" s="14"/>
      <x:c r="AO71" s="14"/>
      <x:c r="AP71" s="14"/>
      <x:c r="AQ71" s="14"/>
      <x:c r="AR71" s="14"/>
      <x:c r="AS71" s="14"/>
      <x:c r="AT71" s="14"/>
      <x:c r="AU71" s="14"/>
      <x:c r="AV71" s="14"/>
      <x:c r="AW71" s="14"/>
      <x:c r="AX71" s="14"/>
      <x:c r="AY71" s="14"/>
      <x:c r="AZ71" s="14"/>
      <x:c r="BA71" s="10"/>
      <x:c r="BB71" s="10"/>
      <x:c r="BC71" s="10"/>
    </x:row>
    <x:row r="72">
      <x:c r="A72" s="10" t="str">
        <x:f>IF(COUNTA($B72:$M72)&gt;0,ROW()-4,"")</x:f>
      </x:c>
      <x:c r="B72" s="15"/>
      <x:c r="C72" s="10"/>
      <x:c r="D72" s="10"/>
      <x:c r="E72" s="10"/>
      <x:c r="F72" s="15"/>
      <x:c r="G72" s="15"/>
      <x:c r="H72" s="16"/>
      <x:c r="I72" s="16"/>
      <x:c r="J72" s="18"/>
      <x:c r="K72" s="19"/>
      <x:c r="L72" s="19"/>
      <x:c r="M72" s="22"/>
      <x:c r="N72" s="17"/>
      <x:c r="O72" s="17"/>
      <x:c r="P72" s="17"/>
      <x:c r="Q72" s="17"/>
      <x:c r="R72" s="17"/>
      <x:c r="S72" s="17"/>
      <x:c r="T72" s="17"/>
      <x:c r="U72" s="17"/>
      <x:c r="V72" s="17"/>
      <x:c r="W72" s="17"/>
      <x:c r="X72" s="17"/>
      <x:c r="Y72" s="17"/>
      <x:c r="Z72" s="13" t="str">
        <x:f>IF(COUNT(N72:Y72)=0,"",SUM(N72:Y72))</x:f>
      </x:c>
      <x:c r="AA72" s="20" t="str">
        <x:f>IF(OR($J72="",AND($Z72="",$I72="")),"",IF($Z72&lt;&gt;"",$Z72,$I72)*$J72)</x:f>
      </x:c>
      <x:c r="AB72" s="20" t="str">
        <x:f>IF(OR($K72="",AND($Z72="",$I72="")),"",IF($Z72&lt;&gt;"",$Z72,$I72)*$K72)</x:f>
      </x:c>
      <x:c r="AC72" s="21" t="str">
        <x:f>IF(OR($K72="",$L72="",$L72=0),"",($L72-$K72)/$L72)</x:f>
      </x:c>
      <x:c r="AD72" s="14"/>
      <x:c r="AE72" s="14"/>
      <x:c r="AF72" s="14"/>
      <x:c r="AG72" s="14"/>
      <x:c r="AH72" s="14"/>
      <x:c r="AI72" s="14"/>
      <x:c r="AJ72" s="14"/>
      <x:c r="AK72" s="14"/>
      <x:c r="AL72" s="14"/>
      <x:c r="AM72" s="14"/>
      <x:c r="AN72" s="14"/>
      <x:c r="AO72" s="14"/>
      <x:c r="AP72" s="14"/>
      <x:c r="AQ72" s="14"/>
      <x:c r="AR72" s="14"/>
      <x:c r="AS72" s="14"/>
      <x:c r="AT72" s="14"/>
      <x:c r="AU72" s="14"/>
      <x:c r="AV72" s="14"/>
      <x:c r="AW72" s="14"/>
      <x:c r="AX72" s="14"/>
      <x:c r="AY72" s="14"/>
      <x:c r="AZ72" s="14"/>
      <x:c r="BA72" s="10"/>
      <x:c r="BB72" s="10"/>
      <x:c r="BC72" s="10"/>
    </x:row>
    <x:row r="73">
      <x:c r="A73" s="10" t="str">
        <x:f>IF(COUNTA($B73:$M73)&gt;0,ROW()-4,"")</x:f>
      </x:c>
      <x:c r="B73" s="15"/>
      <x:c r="C73" s="10"/>
      <x:c r="D73" s="10"/>
      <x:c r="E73" s="10"/>
      <x:c r="F73" s="15"/>
      <x:c r="G73" s="15"/>
      <x:c r="H73" s="16"/>
      <x:c r="I73" s="16"/>
      <x:c r="J73" s="18"/>
      <x:c r="K73" s="19"/>
      <x:c r="L73" s="19"/>
      <x:c r="M73" s="22"/>
      <x:c r="N73" s="17"/>
      <x:c r="O73" s="17"/>
      <x:c r="P73" s="17"/>
      <x:c r="Q73" s="17"/>
      <x:c r="R73" s="17"/>
      <x:c r="S73" s="17"/>
      <x:c r="T73" s="17"/>
      <x:c r="U73" s="17"/>
      <x:c r="V73" s="17"/>
      <x:c r="W73" s="17"/>
      <x:c r="X73" s="17"/>
      <x:c r="Y73" s="17"/>
      <x:c r="Z73" s="13" t="str">
        <x:f>IF(COUNT(N73:Y73)=0,"",SUM(N73:Y73))</x:f>
      </x:c>
      <x:c r="AA73" s="20" t="str">
        <x:f>IF(OR($J73="",AND($Z73="",$I73="")),"",IF($Z73&lt;&gt;"",$Z73,$I73)*$J73)</x:f>
      </x:c>
      <x:c r="AB73" s="20" t="str">
        <x:f>IF(OR($K73="",AND($Z73="",$I73="")),"",IF($Z73&lt;&gt;"",$Z73,$I73)*$K73)</x:f>
      </x:c>
      <x:c r="AC73" s="21" t="str">
        <x:f>IF(OR($K73="",$L73="",$L73=0),"",($L73-$K73)/$L73)</x:f>
      </x:c>
      <x:c r="AD73" s="14"/>
      <x:c r="AE73" s="14"/>
      <x:c r="AF73" s="14"/>
      <x:c r="AG73" s="14"/>
      <x:c r="AH73" s="14"/>
      <x:c r="AI73" s="14"/>
      <x:c r="AJ73" s="14"/>
      <x:c r="AK73" s="14"/>
      <x:c r="AL73" s="14"/>
      <x:c r="AM73" s="14"/>
      <x:c r="AN73" s="14"/>
      <x:c r="AO73" s="14"/>
      <x:c r="AP73" s="14"/>
      <x:c r="AQ73" s="14"/>
      <x:c r="AR73" s="14"/>
      <x:c r="AS73" s="14"/>
      <x:c r="AT73" s="14"/>
      <x:c r="AU73" s="14"/>
      <x:c r="AV73" s="14"/>
      <x:c r="AW73" s="14"/>
      <x:c r="AX73" s="14"/>
      <x:c r="AY73" s="14"/>
      <x:c r="AZ73" s="14"/>
      <x:c r="BA73" s="10"/>
      <x:c r="BB73" s="10"/>
      <x:c r="BC73" s="10"/>
    </x:row>
    <x:row r="74">
      <x:c r="A74" s="10" t="str">
        <x:f>IF(COUNTA($B74:$M74)&gt;0,ROW()-4,"")</x:f>
      </x:c>
      <x:c r="B74" s="15"/>
      <x:c r="C74" s="10"/>
      <x:c r="D74" s="10"/>
      <x:c r="E74" s="10"/>
      <x:c r="F74" s="15"/>
      <x:c r="G74" s="15"/>
      <x:c r="H74" s="16"/>
      <x:c r="I74" s="16"/>
      <x:c r="J74" s="18"/>
      <x:c r="K74" s="19"/>
      <x:c r="L74" s="19"/>
      <x:c r="M74" s="22"/>
      <x:c r="N74" s="17"/>
      <x:c r="O74" s="17"/>
      <x:c r="P74" s="17"/>
      <x:c r="Q74" s="17"/>
      <x:c r="R74" s="17"/>
      <x:c r="S74" s="17"/>
      <x:c r="T74" s="17"/>
      <x:c r="U74" s="17"/>
      <x:c r="V74" s="17"/>
      <x:c r="W74" s="17"/>
      <x:c r="X74" s="17"/>
      <x:c r="Y74" s="17"/>
      <x:c r="Z74" s="13" t="str">
        <x:f>IF(COUNT(N74:Y74)=0,"",SUM(N74:Y74))</x:f>
      </x:c>
      <x:c r="AA74" s="20" t="str">
        <x:f>IF(OR($J74="",AND($Z74="",$I74="")),"",IF($Z74&lt;&gt;"",$Z74,$I74)*$J74)</x:f>
      </x:c>
      <x:c r="AB74" s="20" t="str">
        <x:f>IF(OR($K74="",AND($Z74="",$I74="")),"",IF($Z74&lt;&gt;"",$Z74,$I74)*$K74)</x:f>
      </x:c>
      <x:c r="AC74" s="21" t="str">
        <x:f>IF(OR($K74="",$L74="",$L74=0),"",($L74-$K74)/$L74)</x:f>
      </x:c>
      <x:c r="AD74" s="14"/>
      <x:c r="AE74" s="14"/>
      <x:c r="AF74" s="14"/>
      <x:c r="AG74" s="14"/>
      <x:c r="AH74" s="14"/>
      <x:c r="AI74" s="14"/>
      <x:c r="AJ74" s="14"/>
      <x:c r="AK74" s="14"/>
      <x:c r="AL74" s="14"/>
      <x:c r="AM74" s="14"/>
      <x:c r="AN74" s="14"/>
      <x:c r="AO74" s="14"/>
      <x:c r="AP74" s="14"/>
      <x:c r="AQ74" s="14"/>
      <x:c r="AR74" s="14"/>
      <x:c r="AS74" s="14"/>
      <x:c r="AT74" s="14"/>
      <x:c r="AU74" s="14"/>
      <x:c r="AV74" s="14"/>
      <x:c r="AW74" s="14"/>
      <x:c r="AX74" s="14"/>
      <x:c r="AY74" s="14"/>
      <x:c r="AZ74" s="14"/>
      <x:c r="BA74" s="10"/>
      <x:c r="BB74" s="10"/>
      <x:c r="BC74" s="10"/>
    </x:row>
    <x:row r="75">
      <x:c r="A75" s="10" t="str">
        <x:f>IF(COUNTA($B75:$M75)&gt;0,ROW()-4,"")</x:f>
      </x:c>
      <x:c r="B75" s="15"/>
      <x:c r="C75" s="10"/>
      <x:c r="D75" s="10"/>
      <x:c r="E75" s="10"/>
      <x:c r="F75" s="15"/>
      <x:c r="G75" s="15"/>
      <x:c r="H75" s="16"/>
      <x:c r="I75" s="16"/>
      <x:c r="J75" s="18"/>
      <x:c r="K75" s="19"/>
      <x:c r="L75" s="19"/>
      <x:c r="M75" s="22"/>
      <x:c r="N75" s="17"/>
      <x:c r="O75" s="17"/>
      <x:c r="P75" s="17"/>
      <x:c r="Q75" s="17"/>
      <x:c r="R75" s="17"/>
      <x:c r="S75" s="17"/>
      <x:c r="T75" s="17"/>
      <x:c r="U75" s="17"/>
      <x:c r="V75" s="17"/>
      <x:c r="W75" s="17"/>
      <x:c r="X75" s="17"/>
      <x:c r="Y75" s="17"/>
      <x:c r="Z75" s="13" t="str">
        <x:f>IF(COUNT(N75:Y75)=0,"",SUM(N75:Y75))</x:f>
      </x:c>
      <x:c r="AA75" s="20" t="str">
        <x:f>IF(OR($J75="",AND($Z75="",$I75="")),"",IF($Z75&lt;&gt;"",$Z75,$I75)*$J75)</x:f>
      </x:c>
      <x:c r="AB75" s="20" t="str">
        <x:f>IF(OR($K75="",AND($Z75="",$I75="")),"",IF($Z75&lt;&gt;"",$Z75,$I75)*$K75)</x:f>
      </x:c>
      <x:c r="AC75" s="21" t="str">
        <x:f>IF(OR($K75="",$L75="",$L75=0),"",($L75-$K75)/$L75)</x:f>
      </x:c>
      <x:c r="AD75" s="14"/>
      <x:c r="AE75" s="14"/>
      <x:c r="AF75" s="14"/>
      <x:c r="AG75" s="14"/>
      <x:c r="AH75" s="14"/>
      <x:c r="AI75" s="14"/>
      <x:c r="AJ75" s="14"/>
      <x:c r="AK75" s="14"/>
      <x:c r="AL75" s="14"/>
      <x:c r="AM75" s="14"/>
      <x:c r="AN75" s="14"/>
      <x:c r="AO75" s="14"/>
      <x:c r="AP75" s="14"/>
      <x:c r="AQ75" s="14"/>
      <x:c r="AR75" s="14"/>
      <x:c r="AS75" s="14"/>
      <x:c r="AT75" s="14"/>
      <x:c r="AU75" s="14"/>
      <x:c r="AV75" s="14"/>
      <x:c r="AW75" s="14"/>
      <x:c r="AX75" s="14"/>
      <x:c r="AY75" s="14"/>
      <x:c r="AZ75" s="14"/>
      <x:c r="BA75" s="10"/>
      <x:c r="BB75" s="10"/>
      <x:c r="BC75" s="10"/>
    </x:row>
    <x:row r="76">
      <x:c r="A76" s="10" t="str">
        <x:f>IF(COUNTA($B76:$M76)&gt;0,ROW()-4,"")</x:f>
      </x:c>
      <x:c r="B76" s="15"/>
      <x:c r="C76" s="10"/>
      <x:c r="D76" s="10"/>
      <x:c r="E76" s="10"/>
      <x:c r="F76" s="15"/>
      <x:c r="G76" s="15"/>
      <x:c r="H76" s="16"/>
      <x:c r="I76" s="16"/>
      <x:c r="J76" s="18"/>
      <x:c r="K76" s="19"/>
      <x:c r="L76" s="19"/>
      <x:c r="M76" s="22"/>
      <x:c r="N76" s="17"/>
      <x:c r="O76" s="17"/>
      <x:c r="P76" s="17"/>
      <x:c r="Q76" s="17"/>
      <x:c r="R76" s="17"/>
      <x:c r="S76" s="17"/>
      <x:c r="T76" s="17"/>
      <x:c r="U76" s="17"/>
      <x:c r="V76" s="17"/>
      <x:c r="W76" s="17"/>
      <x:c r="X76" s="17"/>
      <x:c r="Y76" s="17"/>
      <x:c r="Z76" s="13" t="str">
        <x:f>IF(COUNT(N76:Y76)=0,"",SUM(N76:Y76))</x:f>
      </x:c>
      <x:c r="AA76" s="20" t="str">
        <x:f>IF(OR($J76="",AND($Z76="",$I76="")),"",IF($Z76&lt;&gt;"",$Z76,$I76)*$J76)</x:f>
      </x:c>
      <x:c r="AB76" s="20" t="str">
        <x:f>IF(OR($K76="",AND($Z76="",$I76="")),"",IF($Z76&lt;&gt;"",$Z76,$I76)*$K76)</x:f>
      </x:c>
      <x:c r="AC76" s="21" t="str">
        <x:f>IF(OR($K76="",$L76="",$L76=0),"",($L76-$K76)/$L76)</x:f>
      </x:c>
      <x:c r="AD76" s="14"/>
      <x:c r="AE76" s="14"/>
      <x:c r="AF76" s="14"/>
      <x:c r="AG76" s="14"/>
      <x:c r="AH76" s="14"/>
      <x:c r="AI76" s="14"/>
      <x:c r="AJ76" s="14"/>
      <x:c r="AK76" s="14"/>
      <x:c r="AL76" s="14"/>
      <x:c r="AM76" s="14"/>
      <x:c r="AN76" s="14"/>
      <x:c r="AO76" s="14"/>
      <x:c r="AP76" s="14"/>
      <x:c r="AQ76" s="14"/>
      <x:c r="AR76" s="14"/>
      <x:c r="AS76" s="14"/>
      <x:c r="AT76" s="14"/>
      <x:c r="AU76" s="14"/>
      <x:c r="AV76" s="14"/>
      <x:c r="AW76" s="14"/>
      <x:c r="AX76" s="14"/>
      <x:c r="AY76" s="14"/>
      <x:c r="AZ76" s="14"/>
      <x:c r="BA76" s="10"/>
      <x:c r="BB76" s="10"/>
      <x:c r="BC76" s="10"/>
    </x:row>
    <x:row r="77">
      <x:c r="A77" s="10" t="str">
        <x:f>IF(COUNTA($B77:$M77)&gt;0,ROW()-4,"")</x:f>
      </x:c>
      <x:c r="B77" s="15"/>
      <x:c r="C77" s="10"/>
      <x:c r="D77" s="10"/>
      <x:c r="E77" s="10"/>
      <x:c r="F77" s="15"/>
      <x:c r="G77" s="15"/>
      <x:c r="H77" s="16"/>
      <x:c r="I77" s="16"/>
      <x:c r="J77" s="18"/>
      <x:c r="K77" s="19"/>
      <x:c r="L77" s="19"/>
      <x:c r="M77" s="22"/>
      <x:c r="N77" s="17"/>
      <x:c r="O77" s="17"/>
      <x:c r="P77" s="17"/>
      <x:c r="Q77" s="17"/>
      <x:c r="R77" s="17"/>
      <x:c r="S77" s="17"/>
      <x:c r="T77" s="17"/>
      <x:c r="U77" s="17"/>
      <x:c r="V77" s="17"/>
      <x:c r="W77" s="17"/>
      <x:c r="X77" s="17"/>
      <x:c r="Y77" s="17"/>
      <x:c r="Z77" s="13" t="str">
        <x:f>IF(COUNT(N77:Y77)=0,"",SUM(N77:Y77))</x:f>
      </x:c>
      <x:c r="AA77" s="20" t="str">
        <x:f>IF(OR($J77="",AND($Z77="",$I77="")),"",IF($Z77&lt;&gt;"",$Z77,$I77)*$J77)</x:f>
      </x:c>
      <x:c r="AB77" s="20" t="str">
        <x:f>IF(OR($K77="",AND($Z77="",$I77="")),"",IF($Z77&lt;&gt;"",$Z77,$I77)*$K77)</x:f>
      </x:c>
      <x:c r="AC77" s="21" t="str">
        <x:f>IF(OR($K77="",$L77="",$L77=0),"",($L77-$K77)/$L77)</x:f>
      </x:c>
      <x:c r="AD77" s="14"/>
      <x:c r="AE77" s="14"/>
      <x:c r="AF77" s="14"/>
      <x:c r="AG77" s="14"/>
      <x:c r="AH77" s="14"/>
      <x:c r="AI77" s="14"/>
      <x:c r="AJ77" s="14"/>
      <x:c r="AK77" s="14"/>
      <x:c r="AL77" s="14"/>
      <x:c r="AM77" s="14"/>
      <x:c r="AN77" s="14"/>
      <x:c r="AO77" s="14"/>
      <x:c r="AP77" s="14"/>
      <x:c r="AQ77" s="14"/>
      <x:c r="AR77" s="14"/>
      <x:c r="AS77" s="14"/>
      <x:c r="AT77" s="14"/>
      <x:c r="AU77" s="14"/>
      <x:c r="AV77" s="14"/>
      <x:c r="AW77" s="14"/>
      <x:c r="AX77" s="14"/>
      <x:c r="AY77" s="14"/>
      <x:c r="AZ77" s="14"/>
      <x:c r="BA77" s="10"/>
      <x:c r="BB77" s="10"/>
      <x:c r="BC77" s="10"/>
    </x:row>
    <x:row r="78">
      <x:c r="A78" s="10" t="str">
        <x:f>IF(COUNTA($B78:$M78)&gt;0,ROW()-4,"")</x:f>
      </x:c>
      <x:c r="B78" s="15"/>
      <x:c r="C78" s="10"/>
      <x:c r="D78" s="10"/>
      <x:c r="E78" s="10"/>
      <x:c r="F78" s="15"/>
      <x:c r="G78" s="15"/>
      <x:c r="H78" s="16"/>
      <x:c r="I78" s="16"/>
      <x:c r="J78" s="18"/>
      <x:c r="K78" s="19"/>
      <x:c r="L78" s="19"/>
      <x:c r="M78" s="22"/>
      <x:c r="N78" s="17"/>
      <x:c r="O78" s="17"/>
      <x:c r="P78" s="17"/>
      <x:c r="Q78" s="17"/>
      <x:c r="R78" s="17"/>
      <x:c r="S78" s="17"/>
      <x:c r="T78" s="17"/>
      <x:c r="U78" s="17"/>
      <x:c r="V78" s="17"/>
      <x:c r="W78" s="17"/>
      <x:c r="X78" s="17"/>
      <x:c r="Y78" s="17"/>
      <x:c r="Z78" s="13" t="str">
        <x:f>IF(COUNT(N78:Y78)=0,"",SUM(N78:Y78))</x:f>
      </x:c>
      <x:c r="AA78" s="20" t="str">
        <x:f>IF(OR($J78="",AND($Z78="",$I78="")),"",IF($Z78&lt;&gt;"",$Z78,$I78)*$J78)</x:f>
      </x:c>
      <x:c r="AB78" s="20" t="str">
        <x:f>IF(OR($K78="",AND($Z78="",$I78="")),"",IF($Z78&lt;&gt;"",$Z78,$I78)*$K78)</x:f>
      </x:c>
      <x:c r="AC78" s="21" t="str">
        <x:f>IF(OR($K78="",$L78="",$L78=0),"",($L78-$K78)/$L78)</x:f>
      </x:c>
      <x:c r="AD78" s="14"/>
      <x:c r="AE78" s="14"/>
      <x:c r="AF78" s="14"/>
      <x:c r="AG78" s="14"/>
      <x:c r="AH78" s="14"/>
      <x:c r="AI78" s="14"/>
      <x:c r="AJ78" s="14"/>
      <x:c r="AK78" s="14"/>
      <x:c r="AL78" s="14"/>
      <x:c r="AM78" s="14"/>
      <x:c r="AN78" s="14"/>
      <x:c r="AO78" s="14"/>
      <x:c r="AP78" s="14"/>
      <x:c r="AQ78" s="14"/>
      <x:c r="AR78" s="14"/>
      <x:c r="AS78" s="14"/>
      <x:c r="AT78" s="14"/>
      <x:c r="AU78" s="14"/>
      <x:c r="AV78" s="14"/>
      <x:c r="AW78" s="14"/>
      <x:c r="AX78" s="14"/>
      <x:c r="AY78" s="14"/>
      <x:c r="AZ78" s="14"/>
      <x:c r="BA78" s="10"/>
      <x:c r="BB78" s="10"/>
      <x:c r="BC78" s="10"/>
    </x:row>
    <x:row r="79">
      <x:c r="A79" s="10" t="str">
        <x:f>IF(COUNTA($B79:$M79)&gt;0,ROW()-4,"")</x:f>
      </x:c>
      <x:c r="B79" s="15"/>
      <x:c r="C79" s="10"/>
      <x:c r="D79" s="10"/>
      <x:c r="E79" s="10"/>
      <x:c r="F79" s="15"/>
      <x:c r="G79" s="15"/>
      <x:c r="H79" s="16"/>
      <x:c r="I79" s="16"/>
      <x:c r="J79" s="18"/>
      <x:c r="K79" s="19"/>
      <x:c r="L79" s="19"/>
      <x:c r="M79" s="22"/>
      <x:c r="N79" s="17"/>
      <x:c r="O79" s="17"/>
      <x:c r="P79" s="17"/>
      <x:c r="Q79" s="17"/>
      <x:c r="R79" s="17"/>
      <x:c r="S79" s="17"/>
      <x:c r="T79" s="17"/>
      <x:c r="U79" s="17"/>
      <x:c r="V79" s="17"/>
      <x:c r="W79" s="17"/>
      <x:c r="X79" s="17"/>
      <x:c r="Y79" s="17"/>
      <x:c r="Z79" s="13" t="str">
        <x:f>IF(COUNT(N79:Y79)=0,"",SUM(N79:Y79))</x:f>
      </x:c>
      <x:c r="AA79" s="20" t="str">
        <x:f>IF(OR($J79="",AND($Z79="",$I79="")),"",IF($Z79&lt;&gt;"",$Z79,$I79)*$J79)</x:f>
      </x:c>
      <x:c r="AB79" s="20" t="str">
        <x:f>IF(OR($K79="",AND($Z79="",$I79="")),"",IF($Z79&lt;&gt;"",$Z79,$I79)*$K79)</x:f>
      </x:c>
      <x:c r="AC79" s="21" t="str">
        <x:f>IF(OR($K79="",$L79="",$L79=0),"",($L79-$K79)/$L79)</x:f>
      </x:c>
      <x:c r="AD79" s="14"/>
      <x:c r="AE79" s="14"/>
      <x:c r="AF79" s="14"/>
      <x:c r="AG79" s="14"/>
      <x:c r="AH79" s="14"/>
      <x:c r="AI79" s="14"/>
      <x:c r="AJ79" s="14"/>
      <x:c r="AK79" s="14"/>
      <x:c r="AL79" s="14"/>
      <x:c r="AM79" s="14"/>
      <x:c r="AN79" s="14"/>
      <x:c r="AO79" s="14"/>
      <x:c r="AP79" s="14"/>
      <x:c r="AQ79" s="14"/>
      <x:c r="AR79" s="14"/>
      <x:c r="AS79" s="14"/>
      <x:c r="AT79" s="14"/>
      <x:c r="AU79" s="14"/>
      <x:c r="AV79" s="14"/>
      <x:c r="AW79" s="14"/>
      <x:c r="AX79" s="14"/>
      <x:c r="AY79" s="14"/>
      <x:c r="AZ79" s="14"/>
      <x:c r="BA79" s="10"/>
      <x:c r="BB79" s="10"/>
      <x:c r="BC79" s="10"/>
    </x:row>
    <x:row r="80">
      <x:c r="A80" s="10" t="str">
        <x:f>IF(COUNTA($B80:$M80)&gt;0,ROW()-4,"")</x:f>
      </x:c>
      <x:c r="B80" s="15"/>
      <x:c r="C80" s="10"/>
      <x:c r="D80" s="10"/>
      <x:c r="E80" s="10"/>
      <x:c r="F80" s="15"/>
      <x:c r="G80" s="15"/>
      <x:c r="H80" s="16"/>
      <x:c r="I80" s="16"/>
      <x:c r="J80" s="18"/>
      <x:c r="K80" s="19"/>
      <x:c r="L80" s="19"/>
      <x:c r="M80" s="22"/>
      <x:c r="N80" s="17"/>
      <x:c r="O80" s="17"/>
      <x:c r="P80" s="17"/>
      <x:c r="Q80" s="17"/>
      <x:c r="R80" s="17"/>
      <x:c r="S80" s="17"/>
      <x:c r="T80" s="17"/>
      <x:c r="U80" s="17"/>
      <x:c r="V80" s="17"/>
      <x:c r="W80" s="17"/>
      <x:c r="X80" s="17"/>
      <x:c r="Y80" s="17"/>
      <x:c r="Z80" s="13" t="str">
        <x:f>IF(COUNT(N80:Y80)=0,"",SUM(N80:Y80))</x:f>
      </x:c>
      <x:c r="AA80" s="20" t="str">
        <x:f>IF(OR($J80="",AND($Z80="",$I80="")),"",IF($Z80&lt;&gt;"",$Z80,$I80)*$J80)</x:f>
      </x:c>
      <x:c r="AB80" s="20" t="str">
        <x:f>IF(OR($K80="",AND($Z80="",$I80="")),"",IF($Z80&lt;&gt;"",$Z80,$I80)*$K80)</x:f>
      </x:c>
      <x:c r="AC80" s="21" t="str">
        <x:f>IF(OR($K80="",$L80="",$L80=0),"",($L80-$K80)/$L80)</x:f>
      </x:c>
      <x:c r="AD80" s="14"/>
      <x:c r="AE80" s="14"/>
      <x:c r="AF80" s="14"/>
      <x:c r="AG80" s="14"/>
      <x:c r="AH80" s="14"/>
      <x:c r="AI80" s="14"/>
      <x:c r="AJ80" s="14"/>
      <x:c r="AK80" s="14"/>
      <x:c r="AL80" s="14"/>
      <x:c r="AM80" s="14"/>
      <x:c r="AN80" s="14"/>
      <x:c r="AO80" s="14"/>
      <x:c r="AP80" s="14"/>
      <x:c r="AQ80" s="14"/>
      <x:c r="AR80" s="14"/>
      <x:c r="AS80" s="14"/>
      <x:c r="AT80" s="14"/>
      <x:c r="AU80" s="14"/>
      <x:c r="AV80" s="14"/>
      <x:c r="AW80" s="14"/>
      <x:c r="AX80" s="14"/>
      <x:c r="AY80" s="14"/>
      <x:c r="AZ80" s="14"/>
      <x:c r="BA80" s="10"/>
      <x:c r="BB80" s="10"/>
      <x:c r="BC80" s="10"/>
    </x:row>
    <x:row r="81">
      <x:c r="A81" s="10" t="str">
        <x:f>IF(COUNTA($B81:$M81)&gt;0,ROW()-4,"")</x:f>
      </x:c>
      <x:c r="B81" s="15"/>
      <x:c r="C81" s="10"/>
      <x:c r="D81" s="10"/>
      <x:c r="E81" s="10"/>
      <x:c r="F81" s="15"/>
      <x:c r="G81" s="15"/>
      <x:c r="H81" s="16"/>
      <x:c r="I81" s="16"/>
      <x:c r="J81" s="18"/>
      <x:c r="K81" s="19"/>
      <x:c r="L81" s="19"/>
      <x:c r="M81" s="22"/>
      <x:c r="N81" s="17"/>
      <x:c r="O81" s="17"/>
      <x:c r="P81" s="17"/>
      <x:c r="Q81" s="17"/>
      <x:c r="R81" s="17"/>
      <x:c r="S81" s="17"/>
      <x:c r="T81" s="17"/>
      <x:c r="U81" s="17"/>
      <x:c r="V81" s="17"/>
      <x:c r="W81" s="17"/>
      <x:c r="X81" s="17"/>
      <x:c r="Y81" s="17"/>
      <x:c r="Z81" s="13" t="str">
        <x:f>IF(COUNT(N81:Y81)=0,"",SUM(N81:Y81))</x:f>
      </x:c>
      <x:c r="AA81" s="20" t="str">
        <x:f>IF(OR($J81="",AND($Z81="",$I81="")),"",IF($Z81&lt;&gt;"",$Z81,$I81)*$J81)</x:f>
      </x:c>
      <x:c r="AB81" s="20" t="str">
        <x:f>IF(OR($K81="",AND($Z81="",$I81="")),"",IF($Z81&lt;&gt;"",$Z81,$I81)*$K81)</x:f>
      </x:c>
      <x:c r="AC81" s="21" t="str">
        <x:f>IF(OR($K81="",$L81="",$L81=0),"",($L81-$K81)/$L81)</x:f>
      </x:c>
      <x:c r="AD81" s="14"/>
      <x:c r="AE81" s="14"/>
      <x:c r="AF81" s="14"/>
      <x:c r="AG81" s="14"/>
      <x:c r="AH81" s="14"/>
      <x:c r="AI81" s="14"/>
      <x:c r="AJ81" s="14"/>
      <x:c r="AK81" s="14"/>
      <x:c r="AL81" s="14"/>
      <x:c r="AM81" s="14"/>
      <x:c r="AN81" s="14"/>
      <x:c r="AO81" s="14"/>
      <x:c r="AP81" s="14"/>
      <x:c r="AQ81" s="14"/>
      <x:c r="AR81" s="14"/>
      <x:c r="AS81" s="14"/>
      <x:c r="AT81" s="14"/>
      <x:c r="AU81" s="14"/>
      <x:c r="AV81" s="14"/>
      <x:c r="AW81" s="14"/>
      <x:c r="AX81" s="14"/>
      <x:c r="AY81" s="14"/>
      <x:c r="AZ81" s="14"/>
      <x:c r="BA81" s="10"/>
      <x:c r="BB81" s="10"/>
      <x:c r="BC81" s="10"/>
    </x:row>
    <x:row r="82">
      <x:c r="A82" s="10" t="str">
        <x:f>IF(COUNTA($B82:$M82)&gt;0,ROW()-4,"")</x:f>
      </x:c>
      <x:c r="B82" s="15"/>
      <x:c r="C82" s="10"/>
      <x:c r="D82" s="10"/>
      <x:c r="E82" s="10"/>
      <x:c r="F82" s="15"/>
      <x:c r="G82" s="15"/>
      <x:c r="H82" s="16"/>
      <x:c r="I82" s="16"/>
      <x:c r="J82" s="18"/>
      <x:c r="K82" s="19"/>
      <x:c r="L82" s="19"/>
      <x:c r="M82" s="22"/>
      <x:c r="N82" s="17"/>
      <x:c r="O82" s="17"/>
      <x:c r="P82" s="17"/>
      <x:c r="Q82" s="17"/>
      <x:c r="R82" s="17"/>
      <x:c r="S82" s="17"/>
      <x:c r="T82" s="17"/>
      <x:c r="U82" s="17"/>
      <x:c r="V82" s="17"/>
      <x:c r="W82" s="17"/>
      <x:c r="X82" s="17"/>
      <x:c r="Y82" s="17"/>
      <x:c r="Z82" s="13" t="str">
        <x:f>IF(COUNT(N82:Y82)=0,"",SUM(N82:Y82))</x:f>
      </x:c>
      <x:c r="AA82" s="20" t="str">
        <x:f>IF(OR($J82="",AND($Z82="",$I82="")),"",IF($Z82&lt;&gt;"",$Z82,$I82)*$J82)</x:f>
      </x:c>
      <x:c r="AB82" s="20" t="str">
        <x:f>IF(OR($K82="",AND($Z82="",$I82="")),"",IF($Z82&lt;&gt;"",$Z82,$I82)*$K82)</x:f>
      </x:c>
      <x:c r="AC82" s="21" t="str">
        <x:f>IF(OR($K82="",$L82="",$L82=0),"",($L82-$K82)/$L82)</x:f>
      </x:c>
      <x:c r="AD82" s="14"/>
      <x:c r="AE82" s="14"/>
      <x:c r="AF82" s="14"/>
      <x:c r="AG82" s="14"/>
      <x:c r="AH82" s="14"/>
      <x:c r="AI82" s="14"/>
      <x:c r="AJ82" s="14"/>
      <x:c r="AK82" s="14"/>
      <x:c r="AL82" s="14"/>
      <x:c r="AM82" s="14"/>
      <x:c r="AN82" s="14"/>
      <x:c r="AO82" s="14"/>
      <x:c r="AP82" s="14"/>
      <x:c r="AQ82" s="14"/>
      <x:c r="AR82" s="14"/>
      <x:c r="AS82" s="14"/>
      <x:c r="AT82" s="14"/>
      <x:c r="AU82" s="14"/>
      <x:c r="AV82" s="14"/>
      <x:c r="AW82" s="14"/>
      <x:c r="AX82" s="14"/>
      <x:c r="AY82" s="14"/>
      <x:c r="AZ82" s="14"/>
      <x:c r="BA82" s="10"/>
      <x:c r="BB82" s="10"/>
      <x:c r="BC82" s="10"/>
    </x:row>
    <x:row r="83">
      <x:c r="A83" s="10" t="str">
        <x:f>IF(COUNTA($B83:$M83)&gt;0,ROW()-4,"")</x:f>
      </x:c>
      <x:c r="B83" s="15"/>
      <x:c r="C83" s="10"/>
      <x:c r="D83" s="10"/>
      <x:c r="E83" s="10"/>
      <x:c r="F83" s="15"/>
      <x:c r="G83" s="15"/>
      <x:c r="H83" s="16"/>
      <x:c r="I83" s="16"/>
      <x:c r="J83" s="18"/>
      <x:c r="K83" s="19"/>
      <x:c r="L83" s="19"/>
      <x:c r="M83" s="22"/>
      <x:c r="N83" s="17"/>
      <x:c r="O83" s="17"/>
      <x:c r="P83" s="17"/>
      <x:c r="Q83" s="17"/>
      <x:c r="R83" s="17"/>
      <x:c r="S83" s="17"/>
      <x:c r="T83" s="17"/>
      <x:c r="U83" s="17"/>
      <x:c r="V83" s="17"/>
      <x:c r="W83" s="17"/>
      <x:c r="X83" s="17"/>
      <x:c r="Y83" s="17"/>
      <x:c r="Z83" s="13" t="str">
        <x:f>IF(COUNT(N83:Y83)=0,"",SUM(N83:Y83))</x:f>
      </x:c>
      <x:c r="AA83" s="20" t="str">
        <x:f>IF(OR($J83="",AND($Z83="",$I83="")),"",IF($Z83&lt;&gt;"",$Z83,$I83)*$J83)</x:f>
      </x:c>
      <x:c r="AB83" s="20" t="str">
        <x:f>IF(OR($K83="",AND($Z83="",$I83="")),"",IF($Z83&lt;&gt;"",$Z83,$I83)*$K83)</x:f>
      </x:c>
      <x:c r="AC83" s="21" t="str">
        <x:f>IF(OR($K83="",$L83="",$L83=0),"",($L83-$K83)/$L83)</x:f>
      </x:c>
      <x:c r="AD83" s="14"/>
      <x:c r="AE83" s="14"/>
      <x:c r="AF83" s="14"/>
      <x:c r="AG83" s="14"/>
      <x:c r="AH83" s="14"/>
      <x:c r="AI83" s="14"/>
      <x:c r="AJ83" s="14"/>
      <x:c r="AK83" s="14"/>
      <x:c r="AL83" s="14"/>
      <x:c r="AM83" s="14"/>
      <x:c r="AN83" s="14"/>
      <x:c r="AO83" s="14"/>
      <x:c r="AP83" s="14"/>
      <x:c r="AQ83" s="14"/>
      <x:c r="AR83" s="14"/>
      <x:c r="AS83" s="14"/>
      <x:c r="AT83" s="14"/>
      <x:c r="AU83" s="14"/>
      <x:c r="AV83" s="14"/>
      <x:c r="AW83" s="14"/>
      <x:c r="AX83" s="14"/>
      <x:c r="AY83" s="14"/>
      <x:c r="AZ83" s="14"/>
      <x:c r="BA83" s="10"/>
      <x:c r="BB83" s="10"/>
      <x:c r="BC83" s="10"/>
    </x:row>
    <x:row r="84">
      <x:c r="A84" s="10" t="str">
        <x:f>IF(COUNTA($B84:$M84)&gt;0,ROW()-4,"")</x:f>
      </x:c>
      <x:c r="B84" s="15"/>
      <x:c r="C84" s="10"/>
      <x:c r="D84" s="10"/>
      <x:c r="E84" s="10"/>
      <x:c r="F84" s="15"/>
      <x:c r="G84" s="15"/>
      <x:c r="H84" s="16"/>
      <x:c r="I84" s="16"/>
      <x:c r="J84" s="18"/>
      <x:c r="K84" s="19"/>
      <x:c r="L84" s="19"/>
      <x:c r="M84" s="22"/>
      <x:c r="N84" s="17"/>
      <x:c r="O84" s="17"/>
      <x:c r="P84" s="17"/>
      <x:c r="Q84" s="17"/>
      <x:c r="R84" s="17"/>
      <x:c r="S84" s="17"/>
      <x:c r="T84" s="17"/>
      <x:c r="U84" s="17"/>
      <x:c r="V84" s="17"/>
      <x:c r="W84" s="17"/>
      <x:c r="X84" s="17"/>
      <x:c r="Y84" s="17"/>
      <x:c r="Z84" s="13" t="str">
        <x:f>IF(COUNT(N84:Y84)=0,"",SUM(N84:Y84))</x:f>
      </x:c>
      <x:c r="AA84" s="20" t="str">
        <x:f>IF(OR($J84="",AND($Z84="",$I84="")),"",IF($Z84&lt;&gt;"",$Z84,$I84)*$J84)</x:f>
      </x:c>
      <x:c r="AB84" s="20" t="str">
        <x:f>IF(OR($K84="",AND($Z84="",$I84="")),"",IF($Z84&lt;&gt;"",$Z84,$I84)*$K84)</x:f>
      </x:c>
      <x:c r="AC84" s="21" t="str">
        <x:f>IF(OR($K84="",$L84="",$L84=0),"",($L84-$K84)/$L84)</x:f>
      </x:c>
      <x:c r="AD84" s="14"/>
      <x:c r="AE84" s="14"/>
      <x:c r="AF84" s="14"/>
      <x:c r="AG84" s="14"/>
      <x:c r="AH84" s="14"/>
      <x:c r="AI84" s="14"/>
      <x:c r="AJ84" s="14"/>
      <x:c r="AK84" s="14"/>
      <x:c r="AL84" s="14"/>
      <x:c r="AM84" s="14"/>
      <x:c r="AN84" s="14"/>
      <x:c r="AO84" s="14"/>
      <x:c r="AP84" s="14"/>
      <x:c r="AQ84" s="14"/>
      <x:c r="AR84" s="14"/>
      <x:c r="AS84" s="14"/>
      <x:c r="AT84" s="14"/>
      <x:c r="AU84" s="14"/>
      <x:c r="AV84" s="14"/>
      <x:c r="AW84" s="14"/>
      <x:c r="AX84" s="14"/>
      <x:c r="AY84" s="14"/>
      <x:c r="AZ84" s="14"/>
      <x:c r="BA84" s="10"/>
      <x:c r="BB84" s="10"/>
      <x:c r="BC84" s="10"/>
    </x:row>
    <x:row r="85">
      <x:c r="A85" s="10" t="str">
        <x:f>IF(COUNTA($B85:$M85)&gt;0,ROW()-4,"")</x:f>
      </x:c>
      <x:c r="B85" s="15"/>
      <x:c r="C85" s="10"/>
      <x:c r="D85" s="10"/>
      <x:c r="E85" s="10"/>
      <x:c r="F85" s="15"/>
      <x:c r="G85" s="15"/>
      <x:c r="H85" s="16"/>
      <x:c r="I85" s="16"/>
      <x:c r="J85" s="18"/>
      <x:c r="K85" s="19"/>
      <x:c r="L85" s="19"/>
      <x:c r="M85" s="22"/>
      <x:c r="N85" s="17"/>
      <x:c r="O85" s="17"/>
      <x:c r="P85" s="17"/>
      <x:c r="Q85" s="17"/>
      <x:c r="R85" s="17"/>
      <x:c r="S85" s="17"/>
      <x:c r="T85" s="17"/>
      <x:c r="U85" s="17"/>
      <x:c r="V85" s="17"/>
      <x:c r="W85" s="17"/>
      <x:c r="X85" s="17"/>
      <x:c r="Y85" s="17"/>
      <x:c r="Z85" s="13" t="str">
        <x:f>IF(COUNT(N85:Y85)=0,"",SUM(N85:Y85))</x:f>
      </x:c>
      <x:c r="AA85" s="20" t="str">
        <x:f>IF(OR($J85="",AND($Z85="",$I85="")),"",IF($Z85&lt;&gt;"",$Z85,$I85)*$J85)</x:f>
      </x:c>
      <x:c r="AB85" s="20" t="str">
        <x:f>IF(OR($K85="",AND($Z85="",$I85="")),"",IF($Z85&lt;&gt;"",$Z85,$I85)*$K85)</x:f>
      </x:c>
      <x:c r="AC85" s="21" t="str">
        <x:f>IF(OR($K85="",$L85="",$L85=0),"",($L85-$K85)/$L85)</x:f>
      </x:c>
      <x:c r="AD85" s="14"/>
      <x:c r="AE85" s="14"/>
      <x:c r="AF85" s="14"/>
      <x:c r="AG85" s="14"/>
      <x:c r="AH85" s="14"/>
      <x:c r="AI85" s="14"/>
      <x:c r="AJ85" s="14"/>
      <x:c r="AK85" s="14"/>
      <x:c r="AL85" s="14"/>
      <x:c r="AM85" s="14"/>
      <x:c r="AN85" s="14"/>
      <x:c r="AO85" s="14"/>
      <x:c r="AP85" s="14"/>
      <x:c r="AQ85" s="14"/>
      <x:c r="AR85" s="14"/>
      <x:c r="AS85" s="14"/>
      <x:c r="AT85" s="14"/>
      <x:c r="AU85" s="14"/>
      <x:c r="AV85" s="14"/>
      <x:c r="AW85" s="14"/>
      <x:c r="AX85" s="14"/>
      <x:c r="AY85" s="14"/>
      <x:c r="AZ85" s="14"/>
      <x:c r="BA85" s="10"/>
      <x:c r="BB85" s="10"/>
      <x:c r="BC85" s="10"/>
    </x:row>
    <x:row r="86">
      <x:c r="A86" s="10" t="str">
        <x:f>IF(COUNTA($B86:$M86)&gt;0,ROW()-4,"")</x:f>
      </x:c>
      <x:c r="B86" s="15"/>
      <x:c r="C86" s="10"/>
      <x:c r="D86" s="10"/>
      <x:c r="E86" s="10"/>
      <x:c r="F86" s="15"/>
      <x:c r="G86" s="15"/>
      <x:c r="H86" s="16"/>
      <x:c r="I86" s="16"/>
      <x:c r="J86" s="18"/>
      <x:c r="K86" s="19"/>
      <x:c r="L86" s="19"/>
      <x:c r="M86" s="22"/>
      <x:c r="N86" s="17"/>
      <x:c r="O86" s="17"/>
      <x:c r="P86" s="17"/>
      <x:c r="Q86" s="17"/>
      <x:c r="R86" s="17"/>
      <x:c r="S86" s="17"/>
      <x:c r="T86" s="17"/>
      <x:c r="U86" s="17"/>
      <x:c r="V86" s="17"/>
      <x:c r="W86" s="17"/>
      <x:c r="X86" s="17"/>
      <x:c r="Y86" s="17"/>
      <x:c r="Z86" s="13" t="str">
        <x:f>IF(COUNT(N86:Y86)=0,"",SUM(N86:Y86))</x:f>
      </x:c>
      <x:c r="AA86" s="20" t="str">
        <x:f>IF(OR($J86="",AND($Z86="",$I86="")),"",IF($Z86&lt;&gt;"",$Z86,$I86)*$J86)</x:f>
      </x:c>
      <x:c r="AB86" s="20" t="str">
        <x:f>IF(OR($K86="",AND($Z86="",$I86="")),"",IF($Z86&lt;&gt;"",$Z86,$I86)*$K86)</x:f>
      </x:c>
      <x:c r="AC86" s="21" t="str">
        <x:f>IF(OR($K86="",$L86="",$L86=0),"",($L86-$K86)/$L86)</x:f>
      </x:c>
      <x:c r="AD86" s="14"/>
      <x:c r="AE86" s="14"/>
      <x:c r="AF86" s="14"/>
      <x:c r="AG86" s="14"/>
      <x:c r="AH86" s="14"/>
      <x:c r="AI86" s="14"/>
      <x:c r="AJ86" s="14"/>
      <x:c r="AK86" s="14"/>
      <x:c r="AL86" s="14"/>
      <x:c r="AM86" s="14"/>
      <x:c r="AN86" s="14"/>
      <x:c r="AO86" s="14"/>
      <x:c r="AP86" s="14"/>
      <x:c r="AQ86" s="14"/>
      <x:c r="AR86" s="14"/>
      <x:c r="AS86" s="14"/>
      <x:c r="AT86" s="14"/>
      <x:c r="AU86" s="14"/>
      <x:c r="AV86" s="14"/>
      <x:c r="AW86" s="14"/>
      <x:c r="AX86" s="14"/>
      <x:c r="AY86" s="14"/>
      <x:c r="AZ86" s="14"/>
      <x:c r="BA86" s="10"/>
      <x:c r="BB86" s="10"/>
      <x:c r="BC86" s="10"/>
    </x:row>
    <x:row r="87">
      <x:c r="A87" s="10" t="str">
        <x:f>IF(COUNTA($B87:$M87)&gt;0,ROW()-4,"")</x:f>
      </x:c>
      <x:c r="B87" s="15"/>
      <x:c r="C87" s="10"/>
      <x:c r="D87" s="10"/>
      <x:c r="E87" s="10"/>
      <x:c r="F87" s="15"/>
      <x:c r="G87" s="15"/>
      <x:c r="H87" s="16"/>
      <x:c r="I87" s="16"/>
      <x:c r="J87" s="18"/>
      <x:c r="K87" s="19"/>
      <x:c r="L87" s="19"/>
      <x:c r="M87" s="22"/>
      <x:c r="N87" s="17"/>
      <x:c r="O87" s="17"/>
      <x:c r="P87" s="17"/>
      <x:c r="Q87" s="17"/>
      <x:c r="R87" s="17"/>
      <x:c r="S87" s="17"/>
      <x:c r="T87" s="17"/>
      <x:c r="U87" s="17"/>
      <x:c r="V87" s="17"/>
      <x:c r="W87" s="17"/>
      <x:c r="X87" s="17"/>
      <x:c r="Y87" s="17"/>
      <x:c r="Z87" s="13" t="str">
        <x:f>IF(COUNT(N87:Y87)=0,"",SUM(N87:Y87))</x:f>
      </x:c>
      <x:c r="AA87" s="20" t="str">
        <x:f>IF(OR($J87="",AND($Z87="",$I87="")),"",IF($Z87&lt;&gt;"",$Z87,$I87)*$J87)</x:f>
      </x:c>
      <x:c r="AB87" s="20" t="str">
        <x:f>IF(OR($K87="",AND($Z87="",$I87="")),"",IF($Z87&lt;&gt;"",$Z87,$I87)*$K87)</x:f>
      </x:c>
      <x:c r="AC87" s="21" t="str">
        <x:f>IF(OR($K87="",$L87="",$L87=0),"",($L87-$K87)/$L87)</x:f>
      </x:c>
      <x:c r="AD87" s="14"/>
      <x:c r="AE87" s="14"/>
      <x:c r="AF87" s="14"/>
      <x:c r="AG87" s="14"/>
      <x:c r="AH87" s="14"/>
      <x:c r="AI87" s="14"/>
      <x:c r="AJ87" s="14"/>
      <x:c r="AK87" s="14"/>
      <x:c r="AL87" s="14"/>
      <x:c r="AM87" s="14"/>
      <x:c r="AN87" s="14"/>
      <x:c r="AO87" s="14"/>
      <x:c r="AP87" s="14"/>
      <x:c r="AQ87" s="14"/>
      <x:c r="AR87" s="14"/>
      <x:c r="AS87" s="14"/>
      <x:c r="AT87" s="14"/>
      <x:c r="AU87" s="14"/>
      <x:c r="AV87" s="14"/>
      <x:c r="AW87" s="14"/>
      <x:c r="AX87" s="14"/>
      <x:c r="AY87" s="14"/>
      <x:c r="AZ87" s="14"/>
      <x:c r="BA87" s="10"/>
      <x:c r="BB87" s="10"/>
      <x:c r="BC87" s="10"/>
    </x:row>
    <x:row r="88">
      <x:c r="A88" s="10" t="str">
        <x:f>IF(COUNTA($B88:$M88)&gt;0,ROW()-4,"")</x:f>
      </x:c>
      <x:c r="B88" s="15"/>
      <x:c r="C88" s="10"/>
      <x:c r="D88" s="10"/>
      <x:c r="E88" s="10"/>
      <x:c r="F88" s="15"/>
      <x:c r="G88" s="15"/>
      <x:c r="H88" s="16"/>
      <x:c r="I88" s="16"/>
      <x:c r="J88" s="18"/>
      <x:c r="K88" s="19"/>
      <x:c r="L88" s="19"/>
      <x:c r="M88" s="22"/>
      <x:c r="N88" s="17"/>
      <x:c r="O88" s="17"/>
      <x:c r="P88" s="17"/>
      <x:c r="Q88" s="17"/>
      <x:c r="R88" s="17"/>
      <x:c r="S88" s="17"/>
      <x:c r="T88" s="17"/>
      <x:c r="U88" s="17"/>
      <x:c r="V88" s="17"/>
      <x:c r="W88" s="17"/>
      <x:c r="X88" s="17"/>
      <x:c r="Y88" s="17"/>
      <x:c r="Z88" s="13" t="str">
        <x:f>IF(COUNT(N88:Y88)=0,"",SUM(N88:Y88))</x:f>
      </x:c>
      <x:c r="AA88" s="20" t="str">
        <x:f>IF(OR($J88="",AND($Z88="",$I88="")),"",IF($Z88&lt;&gt;"",$Z88,$I88)*$J88)</x:f>
      </x:c>
      <x:c r="AB88" s="20" t="str">
        <x:f>IF(OR($K88="",AND($Z88="",$I88="")),"",IF($Z88&lt;&gt;"",$Z88,$I88)*$K88)</x:f>
      </x:c>
      <x:c r="AC88" s="21" t="str">
        <x:f>IF(OR($K88="",$L88="",$L88=0),"",($L88-$K88)/$L88)</x:f>
      </x:c>
      <x:c r="AD88" s="14"/>
      <x:c r="AE88" s="14"/>
      <x:c r="AF88" s="14"/>
      <x:c r="AG88" s="14"/>
      <x:c r="AH88" s="14"/>
      <x:c r="AI88" s="14"/>
      <x:c r="AJ88" s="14"/>
      <x:c r="AK88" s="14"/>
      <x:c r="AL88" s="14"/>
      <x:c r="AM88" s="14"/>
      <x:c r="AN88" s="14"/>
      <x:c r="AO88" s="14"/>
      <x:c r="AP88" s="14"/>
      <x:c r="AQ88" s="14"/>
      <x:c r="AR88" s="14"/>
      <x:c r="AS88" s="14"/>
      <x:c r="AT88" s="14"/>
      <x:c r="AU88" s="14"/>
      <x:c r="AV88" s="14"/>
      <x:c r="AW88" s="14"/>
      <x:c r="AX88" s="14"/>
      <x:c r="AY88" s="14"/>
      <x:c r="AZ88" s="14"/>
      <x:c r="BA88" s="10"/>
      <x:c r="BB88" s="10"/>
      <x:c r="BC88" s="10"/>
    </x:row>
    <x:row r="89">
      <x:c r="A89" s="10" t="str">
        <x:f>IF(COUNTA($B89:$M89)&gt;0,ROW()-4,"")</x:f>
      </x:c>
      <x:c r="B89" s="15"/>
      <x:c r="C89" s="10"/>
      <x:c r="D89" s="10"/>
      <x:c r="E89" s="10"/>
      <x:c r="F89" s="15"/>
      <x:c r="G89" s="15"/>
      <x:c r="H89" s="16"/>
      <x:c r="I89" s="16"/>
      <x:c r="J89" s="18"/>
      <x:c r="K89" s="19"/>
      <x:c r="L89" s="19"/>
      <x:c r="M89" s="22"/>
      <x:c r="N89" s="17"/>
      <x:c r="O89" s="17"/>
      <x:c r="P89" s="17"/>
      <x:c r="Q89" s="17"/>
      <x:c r="R89" s="17"/>
      <x:c r="S89" s="17"/>
      <x:c r="T89" s="17"/>
      <x:c r="U89" s="17"/>
      <x:c r="V89" s="17"/>
      <x:c r="W89" s="17"/>
      <x:c r="X89" s="17"/>
      <x:c r="Y89" s="17"/>
      <x:c r="Z89" s="13" t="str">
        <x:f>IF(COUNT(N89:Y89)=0,"",SUM(N89:Y89))</x:f>
      </x:c>
      <x:c r="AA89" s="20" t="str">
        <x:f>IF(OR($J89="",AND($Z89="",$I89="")),"",IF($Z89&lt;&gt;"",$Z89,$I89)*$J89)</x:f>
      </x:c>
      <x:c r="AB89" s="20" t="str">
        <x:f>IF(OR($K89="",AND($Z89="",$I89="")),"",IF($Z89&lt;&gt;"",$Z89,$I89)*$K89)</x:f>
      </x:c>
      <x:c r="AC89" s="21" t="str">
        <x:f>IF(OR($K89="",$L89="",$L89=0),"",($L89-$K89)/$L89)</x:f>
      </x:c>
      <x:c r="AD89" s="14"/>
      <x:c r="AE89" s="14"/>
      <x:c r="AF89" s="14"/>
      <x:c r="AG89" s="14"/>
      <x:c r="AH89" s="14"/>
      <x:c r="AI89" s="14"/>
      <x:c r="AJ89" s="14"/>
      <x:c r="AK89" s="14"/>
      <x:c r="AL89" s="14"/>
      <x:c r="AM89" s="14"/>
      <x:c r="AN89" s="14"/>
      <x:c r="AO89" s="14"/>
      <x:c r="AP89" s="14"/>
      <x:c r="AQ89" s="14"/>
      <x:c r="AR89" s="14"/>
      <x:c r="AS89" s="14"/>
      <x:c r="AT89" s="14"/>
      <x:c r="AU89" s="14"/>
      <x:c r="AV89" s="14"/>
      <x:c r="AW89" s="14"/>
      <x:c r="AX89" s="14"/>
      <x:c r="AY89" s="14"/>
      <x:c r="AZ89" s="14"/>
      <x:c r="BA89" s="10"/>
      <x:c r="BB89" s="10"/>
      <x:c r="BC89" s="10"/>
    </x:row>
    <x:row r="90">
      <x:c r="A90" s="10" t="str">
        <x:f>IF(COUNTA($B90:$M90)&gt;0,ROW()-4,"")</x:f>
      </x:c>
      <x:c r="B90" s="15"/>
      <x:c r="C90" s="10"/>
      <x:c r="D90" s="10"/>
      <x:c r="E90" s="10"/>
      <x:c r="F90" s="15"/>
      <x:c r="G90" s="15"/>
      <x:c r="H90" s="16"/>
      <x:c r="I90" s="16"/>
      <x:c r="J90" s="18"/>
      <x:c r="K90" s="19"/>
      <x:c r="L90" s="19"/>
      <x:c r="M90" s="22"/>
      <x:c r="N90" s="17"/>
      <x:c r="O90" s="17"/>
      <x:c r="P90" s="17"/>
      <x:c r="Q90" s="17"/>
      <x:c r="R90" s="17"/>
      <x:c r="S90" s="17"/>
      <x:c r="T90" s="17"/>
      <x:c r="U90" s="17"/>
      <x:c r="V90" s="17"/>
      <x:c r="W90" s="17"/>
      <x:c r="X90" s="17"/>
      <x:c r="Y90" s="17"/>
      <x:c r="Z90" s="13" t="str">
        <x:f>IF(COUNT(N90:Y90)=0,"",SUM(N90:Y90))</x:f>
      </x:c>
      <x:c r="AA90" s="20" t="str">
        <x:f>IF(OR($J90="",AND($Z90="",$I90="")),"",IF($Z90&lt;&gt;"",$Z90,$I90)*$J90)</x:f>
      </x:c>
      <x:c r="AB90" s="20" t="str">
        <x:f>IF(OR($K90="",AND($Z90="",$I90="")),"",IF($Z90&lt;&gt;"",$Z90,$I90)*$K90)</x:f>
      </x:c>
      <x:c r="AC90" s="21" t="str">
        <x:f>IF(OR($K90="",$L90="",$L90=0),"",($L90-$K90)/$L90)</x:f>
      </x:c>
      <x:c r="AD90" s="14"/>
      <x:c r="AE90" s="14"/>
      <x:c r="AF90" s="14"/>
      <x:c r="AG90" s="14"/>
      <x:c r="AH90" s="14"/>
      <x:c r="AI90" s="14"/>
      <x:c r="AJ90" s="14"/>
      <x:c r="AK90" s="14"/>
      <x:c r="AL90" s="14"/>
      <x:c r="AM90" s="14"/>
      <x:c r="AN90" s="14"/>
      <x:c r="AO90" s="14"/>
      <x:c r="AP90" s="14"/>
      <x:c r="AQ90" s="14"/>
      <x:c r="AR90" s="14"/>
      <x:c r="AS90" s="14"/>
      <x:c r="AT90" s="14"/>
      <x:c r="AU90" s="14"/>
      <x:c r="AV90" s="14"/>
      <x:c r="AW90" s="14"/>
      <x:c r="AX90" s="14"/>
      <x:c r="AY90" s="14"/>
      <x:c r="AZ90" s="14"/>
      <x:c r="BA90" s="10"/>
      <x:c r="BB90" s="10"/>
      <x:c r="BC90" s="10"/>
    </x:row>
    <x:row r="91">
      <x:c r="A91" s="10" t="str">
        <x:f>IF(COUNTA($B91:$M91)&gt;0,ROW()-4,"")</x:f>
      </x:c>
      <x:c r="B91" s="15"/>
      <x:c r="C91" s="10"/>
      <x:c r="D91" s="10"/>
      <x:c r="E91" s="10"/>
      <x:c r="F91" s="15"/>
      <x:c r="G91" s="15"/>
      <x:c r="H91" s="16"/>
      <x:c r="I91" s="16"/>
      <x:c r="J91" s="18"/>
      <x:c r="K91" s="19"/>
      <x:c r="L91" s="19"/>
      <x:c r="M91" s="22"/>
      <x:c r="N91" s="17"/>
      <x:c r="O91" s="17"/>
      <x:c r="P91" s="17"/>
      <x:c r="Q91" s="17"/>
      <x:c r="R91" s="17"/>
      <x:c r="S91" s="17"/>
      <x:c r="T91" s="17"/>
      <x:c r="U91" s="17"/>
      <x:c r="V91" s="17"/>
      <x:c r="W91" s="17"/>
      <x:c r="X91" s="17"/>
      <x:c r="Y91" s="17"/>
      <x:c r="Z91" s="13" t="str">
        <x:f>IF(COUNT(N91:Y91)=0,"",SUM(N91:Y91))</x:f>
      </x:c>
      <x:c r="AA91" s="20" t="str">
        <x:f>IF(OR($J91="",AND($Z91="",$I91="")),"",IF($Z91&lt;&gt;"",$Z91,$I91)*$J91)</x:f>
      </x:c>
      <x:c r="AB91" s="20" t="str">
        <x:f>IF(OR($K91="",AND($Z91="",$I91="")),"",IF($Z91&lt;&gt;"",$Z91,$I91)*$K91)</x:f>
      </x:c>
      <x:c r="AC91" s="21" t="str">
        <x:f>IF(OR($K91="",$L91="",$L91=0),"",($L91-$K91)/$L91)</x:f>
      </x:c>
      <x:c r="AD91" s="14"/>
      <x:c r="AE91" s="14"/>
      <x:c r="AF91" s="14"/>
      <x:c r="AG91" s="14"/>
      <x:c r="AH91" s="14"/>
      <x:c r="AI91" s="14"/>
      <x:c r="AJ91" s="14"/>
      <x:c r="AK91" s="14"/>
      <x:c r="AL91" s="14"/>
      <x:c r="AM91" s="14"/>
      <x:c r="AN91" s="14"/>
      <x:c r="AO91" s="14"/>
      <x:c r="AP91" s="14"/>
      <x:c r="AQ91" s="14"/>
      <x:c r="AR91" s="14"/>
      <x:c r="AS91" s="14"/>
      <x:c r="AT91" s="14"/>
      <x:c r="AU91" s="14"/>
      <x:c r="AV91" s="14"/>
      <x:c r="AW91" s="14"/>
      <x:c r="AX91" s="14"/>
      <x:c r="AY91" s="14"/>
      <x:c r="AZ91" s="14"/>
      <x:c r="BA91" s="10"/>
      <x:c r="BB91" s="10"/>
      <x:c r="BC91" s="10"/>
    </x:row>
    <x:row r="92">
      <x:c r="A92" s="10" t="str">
        <x:f>IF(COUNTA($B92:$M92)&gt;0,ROW()-4,"")</x:f>
      </x:c>
      <x:c r="B92" s="15"/>
      <x:c r="C92" s="10"/>
      <x:c r="D92" s="10"/>
      <x:c r="E92" s="10"/>
      <x:c r="F92" s="15"/>
      <x:c r="G92" s="15"/>
      <x:c r="H92" s="16"/>
      <x:c r="I92" s="16"/>
      <x:c r="J92" s="18"/>
      <x:c r="K92" s="19"/>
      <x:c r="L92" s="19"/>
      <x:c r="M92" s="22"/>
      <x:c r="N92" s="17"/>
      <x:c r="O92" s="17"/>
      <x:c r="P92" s="17"/>
      <x:c r="Q92" s="17"/>
      <x:c r="R92" s="17"/>
      <x:c r="S92" s="17"/>
      <x:c r="T92" s="17"/>
      <x:c r="U92" s="17"/>
      <x:c r="V92" s="17"/>
      <x:c r="W92" s="17"/>
      <x:c r="X92" s="17"/>
      <x:c r="Y92" s="17"/>
      <x:c r="Z92" s="13" t="str">
        <x:f>IF(COUNT(N92:Y92)=0,"",SUM(N92:Y92))</x:f>
      </x:c>
      <x:c r="AA92" s="20" t="str">
        <x:f>IF(OR($J92="",AND($Z92="",$I92="")),"",IF($Z92&lt;&gt;"",$Z92,$I92)*$J92)</x:f>
      </x:c>
      <x:c r="AB92" s="20" t="str">
        <x:f>IF(OR($K92="",AND($Z92="",$I92="")),"",IF($Z92&lt;&gt;"",$Z92,$I92)*$K92)</x:f>
      </x:c>
      <x:c r="AC92" s="21" t="str">
        <x:f>IF(OR($K92="",$L92="",$L92=0),"",($L92-$K92)/$L92)</x:f>
      </x:c>
      <x:c r="AD92" s="14"/>
      <x:c r="AE92" s="14"/>
      <x:c r="AF92" s="14"/>
      <x:c r="AG92" s="14"/>
      <x:c r="AH92" s="14"/>
      <x:c r="AI92" s="14"/>
      <x:c r="AJ92" s="14"/>
      <x:c r="AK92" s="14"/>
      <x:c r="AL92" s="14"/>
      <x:c r="AM92" s="14"/>
      <x:c r="AN92" s="14"/>
      <x:c r="AO92" s="14"/>
      <x:c r="AP92" s="14"/>
      <x:c r="AQ92" s="14"/>
      <x:c r="AR92" s="14"/>
      <x:c r="AS92" s="14"/>
      <x:c r="AT92" s="14"/>
      <x:c r="AU92" s="14"/>
      <x:c r="AV92" s="14"/>
      <x:c r="AW92" s="14"/>
      <x:c r="AX92" s="14"/>
      <x:c r="AY92" s="14"/>
      <x:c r="AZ92" s="14"/>
      <x:c r="BA92" s="10"/>
      <x:c r="BB92" s="10"/>
      <x:c r="BC92" s="10"/>
    </x:row>
    <x:row r="93">
      <x:c r="A93" s="10" t="str">
        <x:f>IF(COUNTA($B93:$M93)&gt;0,ROW()-4,"")</x:f>
      </x:c>
      <x:c r="B93" s="15"/>
      <x:c r="C93" s="10"/>
      <x:c r="D93" s="10"/>
      <x:c r="E93" s="10"/>
      <x:c r="F93" s="15"/>
      <x:c r="G93" s="15"/>
      <x:c r="H93" s="16"/>
      <x:c r="I93" s="16"/>
      <x:c r="J93" s="18"/>
      <x:c r="K93" s="19"/>
      <x:c r="L93" s="19"/>
      <x:c r="M93" s="22"/>
      <x:c r="N93" s="17"/>
      <x:c r="O93" s="17"/>
      <x:c r="P93" s="17"/>
      <x:c r="Q93" s="17"/>
      <x:c r="R93" s="17"/>
      <x:c r="S93" s="17"/>
      <x:c r="T93" s="17"/>
      <x:c r="U93" s="17"/>
      <x:c r="V93" s="17"/>
      <x:c r="W93" s="17"/>
      <x:c r="X93" s="17"/>
      <x:c r="Y93" s="17"/>
      <x:c r="Z93" s="13" t="str">
        <x:f>IF(COUNT(N93:Y93)=0,"",SUM(N93:Y93))</x:f>
      </x:c>
      <x:c r="AA93" s="20" t="str">
        <x:f>IF(OR($J93="",AND($Z93="",$I93="")),"",IF($Z93&lt;&gt;"",$Z93,$I93)*$J93)</x:f>
      </x:c>
      <x:c r="AB93" s="20" t="str">
        <x:f>IF(OR($K93="",AND($Z93="",$I93="")),"",IF($Z93&lt;&gt;"",$Z93,$I93)*$K93)</x:f>
      </x:c>
      <x:c r="AC93" s="21" t="str">
        <x:f>IF(OR($K93="",$L93="",$L93=0),"",($L93-$K93)/$L93)</x:f>
      </x:c>
      <x:c r="AD93" s="14"/>
      <x:c r="AE93" s="14"/>
      <x:c r="AF93" s="14"/>
      <x:c r="AG93" s="14"/>
      <x:c r="AH93" s="14"/>
      <x:c r="AI93" s="14"/>
      <x:c r="AJ93" s="14"/>
      <x:c r="AK93" s="14"/>
      <x:c r="AL93" s="14"/>
      <x:c r="AM93" s="14"/>
      <x:c r="AN93" s="14"/>
      <x:c r="AO93" s="14"/>
      <x:c r="AP93" s="14"/>
      <x:c r="AQ93" s="14"/>
      <x:c r="AR93" s="14"/>
      <x:c r="AS93" s="14"/>
      <x:c r="AT93" s="14"/>
      <x:c r="AU93" s="14"/>
      <x:c r="AV93" s="14"/>
      <x:c r="AW93" s="14"/>
      <x:c r="AX93" s="14"/>
      <x:c r="AY93" s="14"/>
      <x:c r="AZ93" s="14"/>
      <x:c r="BA93" s="10"/>
      <x:c r="BB93" s="10"/>
      <x:c r="BC93" s="10"/>
    </x:row>
    <x:row r="94">
      <x:c r="A94" s="10" t="str">
        <x:f>IF(COUNTA($B94:$M94)&gt;0,ROW()-4,"")</x:f>
      </x:c>
      <x:c r="B94" s="15"/>
      <x:c r="C94" s="10"/>
      <x:c r="D94" s="10"/>
      <x:c r="E94" s="10"/>
      <x:c r="F94" s="15"/>
      <x:c r="G94" s="15"/>
      <x:c r="H94" s="16"/>
      <x:c r="I94" s="16"/>
      <x:c r="J94" s="18"/>
      <x:c r="K94" s="19"/>
      <x:c r="L94" s="19"/>
      <x:c r="M94" s="22"/>
      <x:c r="N94" s="17"/>
      <x:c r="O94" s="17"/>
      <x:c r="P94" s="17"/>
      <x:c r="Q94" s="17"/>
      <x:c r="R94" s="17"/>
      <x:c r="S94" s="17"/>
      <x:c r="T94" s="17"/>
      <x:c r="U94" s="17"/>
      <x:c r="V94" s="17"/>
      <x:c r="W94" s="17"/>
      <x:c r="X94" s="17"/>
      <x:c r="Y94" s="17"/>
      <x:c r="Z94" s="13" t="str">
        <x:f>IF(COUNT(N94:Y94)=0,"",SUM(N94:Y94))</x:f>
      </x:c>
      <x:c r="AA94" s="20" t="str">
        <x:f>IF(OR($J94="",AND($Z94="",$I94="")),"",IF($Z94&lt;&gt;"",$Z94,$I94)*$J94)</x:f>
      </x:c>
      <x:c r="AB94" s="20" t="str">
        <x:f>IF(OR($K94="",AND($Z94="",$I94="")),"",IF($Z94&lt;&gt;"",$Z94,$I94)*$K94)</x:f>
      </x:c>
      <x:c r="AC94" s="21" t="str">
        <x:f>IF(OR($K94="",$L94="",$L94=0),"",($L94-$K94)/$L94)</x:f>
      </x:c>
      <x:c r="AD94" s="14"/>
      <x:c r="AE94" s="14"/>
      <x:c r="AF94" s="14"/>
      <x:c r="AG94" s="14"/>
      <x:c r="AH94" s="14"/>
      <x:c r="AI94" s="14"/>
      <x:c r="AJ94" s="14"/>
      <x:c r="AK94" s="14"/>
      <x:c r="AL94" s="14"/>
      <x:c r="AM94" s="14"/>
      <x:c r="AN94" s="14"/>
      <x:c r="AO94" s="14"/>
      <x:c r="AP94" s="14"/>
      <x:c r="AQ94" s="14"/>
      <x:c r="AR94" s="14"/>
      <x:c r="AS94" s="14"/>
      <x:c r="AT94" s="14"/>
      <x:c r="AU94" s="14"/>
      <x:c r="AV94" s="14"/>
      <x:c r="AW94" s="14"/>
      <x:c r="AX94" s="14"/>
      <x:c r="AY94" s="14"/>
      <x:c r="AZ94" s="14"/>
      <x:c r="BA94" s="10"/>
      <x:c r="BB94" s="10"/>
      <x:c r="BC94" s="10"/>
    </x:row>
    <x:row r="95">
      <x:c r="A95" s="10" t="str">
        <x:f>IF(COUNTA($B95:$M95)&gt;0,ROW()-4,"")</x:f>
      </x:c>
      <x:c r="B95" s="15"/>
      <x:c r="C95" s="10"/>
      <x:c r="D95" s="10"/>
      <x:c r="E95" s="10"/>
      <x:c r="F95" s="15"/>
      <x:c r="G95" s="15"/>
      <x:c r="H95" s="16"/>
      <x:c r="I95" s="16"/>
      <x:c r="J95" s="18"/>
      <x:c r="K95" s="19"/>
      <x:c r="L95" s="19"/>
      <x:c r="M95" s="22"/>
      <x:c r="N95" s="17"/>
      <x:c r="O95" s="17"/>
      <x:c r="P95" s="17"/>
      <x:c r="Q95" s="17"/>
      <x:c r="R95" s="17"/>
      <x:c r="S95" s="17"/>
      <x:c r="T95" s="17"/>
      <x:c r="U95" s="17"/>
      <x:c r="V95" s="17"/>
      <x:c r="W95" s="17"/>
      <x:c r="X95" s="17"/>
      <x:c r="Y95" s="17"/>
      <x:c r="Z95" s="13" t="str">
        <x:f>IF(COUNT(N95:Y95)=0,"",SUM(N95:Y95))</x:f>
      </x:c>
      <x:c r="AA95" s="20" t="str">
        <x:f>IF(OR($J95="",AND($Z95="",$I95="")),"",IF($Z95&lt;&gt;"",$Z95,$I95)*$J95)</x:f>
      </x:c>
      <x:c r="AB95" s="20" t="str">
        <x:f>IF(OR($K95="",AND($Z95="",$I95="")),"",IF($Z95&lt;&gt;"",$Z95,$I95)*$K95)</x:f>
      </x:c>
      <x:c r="AC95" s="21" t="str">
        <x:f>IF(OR($K95="",$L95="",$L95=0),"",($L95-$K95)/$L95)</x:f>
      </x:c>
      <x:c r="AD95" s="14"/>
      <x:c r="AE95" s="14"/>
      <x:c r="AF95" s="14"/>
      <x:c r="AG95" s="14"/>
      <x:c r="AH95" s="14"/>
      <x:c r="AI95" s="14"/>
      <x:c r="AJ95" s="14"/>
      <x:c r="AK95" s="14"/>
      <x:c r="AL95" s="14"/>
      <x:c r="AM95" s="14"/>
      <x:c r="AN95" s="14"/>
      <x:c r="AO95" s="14"/>
      <x:c r="AP95" s="14"/>
      <x:c r="AQ95" s="14"/>
      <x:c r="AR95" s="14"/>
      <x:c r="AS95" s="14"/>
      <x:c r="AT95" s="14"/>
      <x:c r="AU95" s="14"/>
      <x:c r="AV95" s="14"/>
      <x:c r="AW95" s="14"/>
      <x:c r="AX95" s="14"/>
      <x:c r="AY95" s="14"/>
      <x:c r="AZ95" s="14"/>
      <x:c r="BA95" s="10"/>
      <x:c r="BB95" s="10"/>
      <x:c r="BC95" s="10"/>
    </x:row>
    <x:row r="96">
      <x:c r="A96" s="10" t="str">
        <x:f>IF(COUNTA($B96:$M96)&gt;0,ROW()-4,"")</x:f>
      </x:c>
      <x:c r="B96" s="15"/>
      <x:c r="C96" s="10"/>
      <x:c r="D96" s="10"/>
      <x:c r="E96" s="10"/>
      <x:c r="F96" s="15"/>
      <x:c r="G96" s="15"/>
      <x:c r="H96" s="16"/>
      <x:c r="I96" s="16"/>
      <x:c r="J96" s="18"/>
      <x:c r="K96" s="19"/>
      <x:c r="L96" s="19"/>
      <x:c r="M96" s="22"/>
      <x:c r="N96" s="17"/>
      <x:c r="O96" s="17"/>
      <x:c r="P96" s="17"/>
      <x:c r="Q96" s="17"/>
      <x:c r="R96" s="17"/>
      <x:c r="S96" s="17"/>
      <x:c r="T96" s="17"/>
      <x:c r="U96" s="17"/>
      <x:c r="V96" s="17"/>
      <x:c r="W96" s="17"/>
      <x:c r="X96" s="17"/>
      <x:c r="Y96" s="17"/>
      <x:c r="Z96" s="13" t="str">
        <x:f>IF(COUNT(N96:Y96)=0,"",SUM(N96:Y96))</x:f>
      </x:c>
      <x:c r="AA96" s="20" t="str">
        <x:f>IF(OR($J96="",AND($Z96="",$I96="")),"",IF($Z96&lt;&gt;"",$Z96,$I96)*$J96)</x:f>
      </x:c>
      <x:c r="AB96" s="20" t="str">
        <x:f>IF(OR($K96="",AND($Z96="",$I96="")),"",IF($Z96&lt;&gt;"",$Z96,$I96)*$K96)</x:f>
      </x:c>
      <x:c r="AC96" s="21" t="str">
        <x:f>IF(OR($K96="",$L96="",$L96=0),"",($L96-$K96)/$L96)</x:f>
      </x:c>
      <x:c r="AD96" s="14"/>
      <x:c r="AE96" s="14"/>
      <x:c r="AF96" s="14"/>
      <x:c r="AG96" s="14"/>
      <x:c r="AH96" s="14"/>
      <x:c r="AI96" s="14"/>
      <x:c r="AJ96" s="14"/>
      <x:c r="AK96" s="14"/>
      <x:c r="AL96" s="14"/>
      <x:c r="AM96" s="14"/>
      <x:c r="AN96" s="14"/>
      <x:c r="AO96" s="14"/>
      <x:c r="AP96" s="14"/>
      <x:c r="AQ96" s="14"/>
      <x:c r="AR96" s="14"/>
      <x:c r="AS96" s="14"/>
      <x:c r="AT96" s="14"/>
      <x:c r="AU96" s="14"/>
      <x:c r="AV96" s="14"/>
      <x:c r="AW96" s="14"/>
      <x:c r="AX96" s="14"/>
      <x:c r="AY96" s="14"/>
      <x:c r="AZ96" s="14"/>
      <x:c r="BA96" s="10"/>
      <x:c r="BB96" s="10"/>
      <x:c r="BC96" s="10"/>
    </x:row>
    <x:row r="97">
      <x:c r="A97" s="10" t="str">
        <x:f>IF(COUNTA($B97:$M97)&gt;0,ROW()-4,"")</x:f>
      </x:c>
      <x:c r="B97" s="15"/>
      <x:c r="C97" s="10"/>
      <x:c r="D97" s="10"/>
      <x:c r="E97" s="10"/>
      <x:c r="F97" s="15"/>
      <x:c r="G97" s="15"/>
      <x:c r="H97" s="16"/>
      <x:c r="I97" s="16"/>
      <x:c r="J97" s="18"/>
      <x:c r="K97" s="19"/>
      <x:c r="L97" s="19"/>
      <x:c r="M97" s="22"/>
      <x:c r="N97" s="17"/>
      <x:c r="O97" s="17"/>
      <x:c r="P97" s="17"/>
      <x:c r="Q97" s="17"/>
      <x:c r="R97" s="17"/>
      <x:c r="S97" s="17"/>
      <x:c r="T97" s="17"/>
      <x:c r="U97" s="17"/>
      <x:c r="V97" s="17"/>
      <x:c r="W97" s="17"/>
      <x:c r="X97" s="17"/>
      <x:c r="Y97" s="17"/>
      <x:c r="Z97" s="13" t="str">
        <x:f>IF(COUNT(N97:Y97)=0,"",SUM(N97:Y97))</x:f>
      </x:c>
      <x:c r="AA97" s="20" t="str">
        <x:f>IF(OR($J97="",AND($Z97="",$I97="")),"",IF($Z97&lt;&gt;"",$Z97,$I97)*$J97)</x:f>
      </x:c>
      <x:c r="AB97" s="20" t="str">
        <x:f>IF(OR($K97="",AND($Z97="",$I97="")),"",IF($Z97&lt;&gt;"",$Z97,$I97)*$K97)</x:f>
      </x:c>
      <x:c r="AC97" s="21" t="str">
        <x:f>IF(OR($K97="",$L97="",$L97=0),"",($L97-$K97)/$L97)</x:f>
      </x:c>
      <x:c r="AD97" s="14"/>
      <x:c r="AE97" s="14"/>
      <x:c r="AF97" s="14"/>
      <x:c r="AG97" s="14"/>
      <x:c r="AH97" s="14"/>
      <x:c r="AI97" s="14"/>
      <x:c r="AJ97" s="14"/>
      <x:c r="AK97" s="14"/>
      <x:c r="AL97" s="14"/>
      <x:c r="AM97" s="14"/>
      <x:c r="AN97" s="14"/>
      <x:c r="AO97" s="14"/>
      <x:c r="AP97" s="14"/>
      <x:c r="AQ97" s="14"/>
      <x:c r="AR97" s="14"/>
      <x:c r="AS97" s="14"/>
      <x:c r="AT97" s="14"/>
      <x:c r="AU97" s="14"/>
      <x:c r="AV97" s="14"/>
      <x:c r="AW97" s="14"/>
      <x:c r="AX97" s="14"/>
      <x:c r="AY97" s="14"/>
      <x:c r="AZ97" s="14"/>
      <x:c r="BA97" s="10"/>
      <x:c r="BB97" s="10"/>
      <x:c r="BC97" s="10"/>
    </x:row>
    <x:row r="98">
      <x:c r="A98" s="10" t="str">
        <x:f>IF(COUNTA($B98:$M98)&gt;0,ROW()-4,"")</x:f>
      </x:c>
      <x:c r="B98" s="15"/>
      <x:c r="C98" s="10"/>
      <x:c r="D98" s="10"/>
      <x:c r="E98" s="10"/>
      <x:c r="F98" s="15"/>
      <x:c r="G98" s="15"/>
      <x:c r="H98" s="16"/>
      <x:c r="I98" s="16"/>
      <x:c r="J98" s="18"/>
      <x:c r="K98" s="19"/>
      <x:c r="L98" s="19"/>
      <x:c r="M98" s="22"/>
      <x:c r="N98" s="17"/>
      <x:c r="O98" s="17"/>
      <x:c r="P98" s="17"/>
      <x:c r="Q98" s="17"/>
      <x:c r="R98" s="17"/>
      <x:c r="S98" s="17"/>
      <x:c r="T98" s="17"/>
      <x:c r="U98" s="17"/>
      <x:c r="V98" s="17"/>
      <x:c r="W98" s="17"/>
      <x:c r="X98" s="17"/>
      <x:c r="Y98" s="17"/>
      <x:c r="Z98" s="13" t="str">
        <x:f>IF(COUNT(N98:Y98)=0,"",SUM(N98:Y98))</x:f>
      </x:c>
      <x:c r="AA98" s="20" t="str">
        <x:f>IF(OR($J98="",AND($Z98="",$I98="")),"",IF($Z98&lt;&gt;"",$Z98,$I98)*$J98)</x:f>
      </x:c>
      <x:c r="AB98" s="20" t="str">
        <x:f>IF(OR($K98="",AND($Z98="",$I98="")),"",IF($Z98&lt;&gt;"",$Z98,$I98)*$K98)</x:f>
      </x:c>
      <x:c r="AC98" s="21" t="str">
        <x:f>IF(OR($K98="",$L98="",$L98=0),"",($L98-$K98)/$L98)</x:f>
      </x:c>
      <x:c r="AD98" s="14"/>
      <x:c r="AE98" s="14"/>
      <x:c r="AF98" s="14"/>
      <x:c r="AG98" s="14"/>
      <x:c r="AH98" s="14"/>
      <x:c r="AI98" s="14"/>
      <x:c r="AJ98" s="14"/>
      <x:c r="AK98" s="14"/>
      <x:c r="AL98" s="14"/>
      <x:c r="AM98" s="14"/>
      <x:c r="AN98" s="14"/>
      <x:c r="AO98" s="14"/>
      <x:c r="AP98" s="14"/>
      <x:c r="AQ98" s="14"/>
      <x:c r="AR98" s="14"/>
      <x:c r="AS98" s="14"/>
      <x:c r="AT98" s="14"/>
      <x:c r="AU98" s="14"/>
      <x:c r="AV98" s="14"/>
      <x:c r="AW98" s="14"/>
      <x:c r="AX98" s="14"/>
      <x:c r="AY98" s="14"/>
      <x:c r="AZ98" s="14"/>
      <x:c r="BA98" s="10"/>
      <x:c r="BB98" s="10"/>
      <x:c r="BC98" s="10"/>
    </x:row>
    <x:row r="99">
      <x:c r="A99" s="10" t="str">
        <x:f>IF(COUNTA($B99:$M99)&gt;0,ROW()-4,"")</x:f>
      </x:c>
      <x:c r="B99" s="15"/>
      <x:c r="C99" s="10"/>
      <x:c r="D99" s="10"/>
      <x:c r="E99" s="10"/>
      <x:c r="F99" s="15"/>
      <x:c r="G99" s="15"/>
      <x:c r="H99" s="16"/>
      <x:c r="I99" s="16"/>
      <x:c r="J99" s="18"/>
      <x:c r="K99" s="19"/>
      <x:c r="L99" s="19"/>
      <x:c r="M99" s="22"/>
      <x:c r="N99" s="17"/>
      <x:c r="O99" s="17"/>
      <x:c r="P99" s="17"/>
      <x:c r="Q99" s="17"/>
      <x:c r="R99" s="17"/>
      <x:c r="S99" s="17"/>
      <x:c r="T99" s="17"/>
      <x:c r="U99" s="17"/>
      <x:c r="V99" s="17"/>
      <x:c r="W99" s="17"/>
      <x:c r="X99" s="17"/>
      <x:c r="Y99" s="17"/>
      <x:c r="Z99" s="13" t="str">
        <x:f>IF(COUNT(N99:Y99)=0,"",SUM(N99:Y99))</x:f>
      </x:c>
      <x:c r="AA99" s="20" t="str">
        <x:f>IF(OR($J99="",AND($Z99="",$I99="")),"",IF($Z99&lt;&gt;"",$Z99,$I99)*$J99)</x:f>
      </x:c>
      <x:c r="AB99" s="20" t="str">
        <x:f>IF(OR($K99="",AND($Z99="",$I99="")),"",IF($Z99&lt;&gt;"",$Z99,$I99)*$K99)</x:f>
      </x:c>
      <x:c r="AC99" s="21" t="str">
        <x:f>IF(OR($K99="",$L99="",$L99=0),"",($L99-$K99)/$L99)</x:f>
      </x:c>
      <x:c r="AD99" s="14"/>
      <x:c r="AE99" s="14"/>
      <x:c r="AF99" s="14"/>
      <x:c r="AG99" s="14"/>
      <x:c r="AH99" s="14"/>
      <x:c r="AI99" s="14"/>
      <x:c r="AJ99" s="14"/>
      <x:c r="AK99" s="14"/>
      <x:c r="AL99" s="14"/>
      <x:c r="AM99" s="14"/>
      <x:c r="AN99" s="14"/>
      <x:c r="AO99" s="14"/>
      <x:c r="AP99" s="14"/>
      <x:c r="AQ99" s="14"/>
      <x:c r="AR99" s="14"/>
      <x:c r="AS99" s="14"/>
      <x:c r="AT99" s="14"/>
      <x:c r="AU99" s="14"/>
      <x:c r="AV99" s="14"/>
      <x:c r="AW99" s="14"/>
      <x:c r="AX99" s="14"/>
      <x:c r="AY99" s="14"/>
      <x:c r="AZ99" s="14"/>
      <x:c r="BA99" s="10"/>
      <x:c r="BB99" s="10"/>
      <x:c r="BC99" s="10"/>
    </x:row>
    <x:row r="100">
      <x:c r="A100" s="10" t="str">
        <x:f>IF(COUNTA($B100:$M100)&gt;0,ROW()-4,"")</x:f>
      </x:c>
      <x:c r="B100" s="15"/>
      <x:c r="C100" s="10"/>
      <x:c r="D100" s="10"/>
      <x:c r="E100" s="10"/>
      <x:c r="F100" s="15"/>
      <x:c r="G100" s="15"/>
      <x:c r="H100" s="16"/>
      <x:c r="I100" s="16"/>
      <x:c r="J100" s="18"/>
      <x:c r="K100" s="19"/>
      <x:c r="L100" s="19"/>
      <x:c r="M100" s="22"/>
      <x:c r="N100" s="17"/>
      <x:c r="O100" s="17"/>
      <x:c r="P100" s="17"/>
      <x:c r="Q100" s="17"/>
      <x:c r="R100" s="17"/>
      <x:c r="S100" s="17"/>
      <x:c r="T100" s="17"/>
      <x:c r="U100" s="17"/>
      <x:c r="V100" s="17"/>
      <x:c r="W100" s="17"/>
      <x:c r="X100" s="17"/>
      <x:c r="Y100" s="17"/>
      <x:c r="Z100" s="13" t="str">
        <x:f>IF(COUNT(N100:Y100)=0,"",SUM(N100:Y100))</x:f>
      </x:c>
      <x:c r="AA100" s="20" t="str">
        <x:f>IF(OR($J100="",AND($Z100="",$I100="")),"",IF($Z100&lt;&gt;"",$Z100,$I100)*$J100)</x:f>
      </x:c>
      <x:c r="AB100" s="20" t="str">
        <x:f>IF(OR($K100="",AND($Z100="",$I100="")),"",IF($Z100&lt;&gt;"",$Z100,$I100)*$K100)</x:f>
      </x:c>
      <x:c r="AC100" s="21" t="str">
        <x:f>IF(OR($K100="",$L100="",$L100=0),"",($L100-$K100)/$L100)</x:f>
      </x:c>
      <x:c r="AD100" s="14"/>
      <x:c r="AE100" s="14"/>
      <x:c r="AF100" s="14"/>
      <x:c r="AG100" s="14"/>
      <x:c r="AH100" s="14"/>
      <x:c r="AI100" s="14"/>
      <x:c r="AJ100" s="14"/>
      <x:c r="AK100" s="14"/>
      <x:c r="AL100" s="14"/>
      <x:c r="AM100" s="14"/>
      <x:c r="AN100" s="14"/>
      <x:c r="AO100" s="14"/>
      <x:c r="AP100" s="14"/>
      <x:c r="AQ100" s="14"/>
      <x:c r="AR100" s="14"/>
      <x:c r="AS100" s="14"/>
      <x:c r="AT100" s="14"/>
      <x:c r="AU100" s="14"/>
      <x:c r="AV100" s="14"/>
      <x:c r="AW100" s="14"/>
      <x:c r="AX100" s="14"/>
      <x:c r="AY100" s="14"/>
      <x:c r="AZ100" s="14"/>
      <x:c r="BA100" s="10"/>
      <x:c r="BB100" s="10"/>
      <x:c r="BC100" s="10"/>
    </x:row>
    <x:row r="101">
      <x:c r="A101" s="10" t="str">
        <x:f>IF(COUNTA($B101:$M101)&gt;0,ROW()-4,"")</x:f>
      </x:c>
      <x:c r="B101" s="15"/>
      <x:c r="C101" s="10"/>
      <x:c r="D101" s="10"/>
      <x:c r="E101" s="10"/>
      <x:c r="F101" s="15"/>
      <x:c r="G101" s="15"/>
      <x:c r="H101" s="16"/>
      <x:c r="I101" s="16"/>
      <x:c r="J101" s="18"/>
      <x:c r="K101" s="19"/>
      <x:c r="L101" s="19"/>
      <x:c r="M101" s="22"/>
      <x:c r="N101" s="17"/>
      <x:c r="O101" s="17"/>
      <x:c r="P101" s="17"/>
      <x:c r="Q101" s="17"/>
      <x:c r="R101" s="17"/>
      <x:c r="S101" s="17"/>
      <x:c r="T101" s="17"/>
      <x:c r="U101" s="17"/>
      <x:c r="V101" s="17"/>
      <x:c r="W101" s="17"/>
      <x:c r="X101" s="17"/>
      <x:c r="Y101" s="17"/>
      <x:c r="Z101" s="13" t="str">
        <x:f>IF(COUNT(N101:Y101)=0,"",SUM(N101:Y101))</x:f>
      </x:c>
      <x:c r="AA101" s="20" t="str">
        <x:f>IF(OR($J101="",AND($Z101="",$I101="")),"",IF($Z101&lt;&gt;"",$Z101,$I101)*$J101)</x:f>
      </x:c>
      <x:c r="AB101" s="20" t="str">
        <x:f>IF(OR($K101="",AND($Z101="",$I101="")),"",IF($Z101&lt;&gt;"",$Z101,$I101)*$K101)</x:f>
      </x:c>
      <x:c r="AC101" s="21" t="str">
        <x:f>IF(OR($K101="",$L101="",$L101=0),"",($L101-$K101)/$L101)</x:f>
      </x:c>
      <x:c r="AD101" s="14"/>
      <x:c r="AE101" s="14"/>
      <x:c r="AF101" s="14"/>
      <x:c r="AG101" s="14"/>
      <x:c r="AH101" s="14"/>
      <x:c r="AI101" s="14"/>
      <x:c r="AJ101" s="14"/>
      <x:c r="AK101" s="14"/>
      <x:c r="AL101" s="14"/>
      <x:c r="AM101" s="14"/>
      <x:c r="AN101" s="14"/>
      <x:c r="AO101" s="14"/>
      <x:c r="AP101" s="14"/>
      <x:c r="AQ101" s="14"/>
      <x:c r="AR101" s="14"/>
      <x:c r="AS101" s="14"/>
      <x:c r="AT101" s="14"/>
      <x:c r="AU101" s="14"/>
      <x:c r="AV101" s="14"/>
      <x:c r="AW101" s="14"/>
      <x:c r="AX101" s="14"/>
      <x:c r="AY101" s="14"/>
      <x:c r="AZ101" s="14"/>
      <x:c r="BA101" s="10"/>
      <x:c r="BB101" s="10"/>
      <x:c r="BC101" s="10"/>
    </x:row>
    <x:row r="102">
      <x:c r="A102" s="10" t="str">
        <x:f>IF(COUNTA($B102:$M102)&gt;0,ROW()-4,"")</x:f>
      </x:c>
      <x:c r="B102" s="15"/>
      <x:c r="C102" s="10"/>
      <x:c r="D102" s="10"/>
      <x:c r="E102" s="10"/>
      <x:c r="F102" s="15"/>
      <x:c r="G102" s="15"/>
      <x:c r="H102" s="16"/>
      <x:c r="I102" s="16"/>
      <x:c r="J102" s="18"/>
      <x:c r="K102" s="19"/>
      <x:c r="L102" s="19"/>
      <x:c r="M102" s="22"/>
      <x:c r="N102" s="17"/>
      <x:c r="O102" s="17"/>
      <x:c r="P102" s="17"/>
      <x:c r="Q102" s="17"/>
      <x:c r="R102" s="17"/>
      <x:c r="S102" s="17"/>
      <x:c r="T102" s="17"/>
      <x:c r="U102" s="17"/>
      <x:c r="V102" s="17"/>
      <x:c r="W102" s="17"/>
      <x:c r="X102" s="17"/>
      <x:c r="Y102" s="17"/>
      <x:c r="Z102" s="13" t="str">
        <x:f>IF(COUNT(N102:Y102)=0,"",SUM(N102:Y102))</x:f>
      </x:c>
      <x:c r="AA102" s="20" t="str">
        <x:f>IF(OR($J102="",AND($Z102="",$I102="")),"",IF($Z102&lt;&gt;"",$Z102,$I102)*$J102)</x:f>
      </x:c>
      <x:c r="AB102" s="20" t="str">
        <x:f>IF(OR($K102="",AND($Z102="",$I102="")),"",IF($Z102&lt;&gt;"",$Z102,$I102)*$K102)</x:f>
      </x:c>
      <x:c r="AC102" s="21" t="str">
        <x:f>IF(OR($K102="",$L102="",$L102=0),"",($L102-$K102)/$L102)</x:f>
      </x:c>
      <x:c r="AD102" s="14"/>
      <x:c r="AE102" s="14"/>
      <x:c r="AF102" s="14"/>
      <x:c r="AG102" s="14"/>
      <x:c r="AH102" s="14"/>
      <x:c r="AI102" s="14"/>
      <x:c r="AJ102" s="14"/>
      <x:c r="AK102" s="14"/>
      <x:c r="AL102" s="14"/>
      <x:c r="AM102" s="14"/>
      <x:c r="AN102" s="14"/>
      <x:c r="AO102" s="14"/>
      <x:c r="AP102" s="14"/>
      <x:c r="AQ102" s="14"/>
      <x:c r="AR102" s="14"/>
      <x:c r="AS102" s="14"/>
      <x:c r="AT102" s="14"/>
      <x:c r="AU102" s="14"/>
      <x:c r="AV102" s="14"/>
      <x:c r="AW102" s="14"/>
      <x:c r="AX102" s="14"/>
      <x:c r="AY102" s="14"/>
      <x:c r="AZ102" s="14"/>
      <x:c r="BA102" s="10"/>
      <x:c r="BB102" s="10"/>
      <x:c r="BC102" s="10"/>
    </x:row>
    <x:row r="103">
      <x:c r="A103" s="10" t="str">
        <x:f>IF(COUNTA($B103:$M103)&gt;0,ROW()-4,"")</x:f>
      </x:c>
      <x:c r="B103" s="15"/>
      <x:c r="C103" s="10"/>
      <x:c r="D103" s="10"/>
      <x:c r="E103" s="10"/>
      <x:c r="F103" s="15"/>
      <x:c r="G103" s="15"/>
      <x:c r="H103" s="16"/>
      <x:c r="I103" s="16"/>
      <x:c r="J103" s="18"/>
      <x:c r="K103" s="19"/>
      <x:c r="L103" s="19"/>
      <x:c r="M103" s="22"/>
      <x:c r="N103" s="17"/>
      <x:c r="O103" s="17"/>
      <x:c r="P103" s="17"/>
      <x:c r="Q103" s="17"/>
      <x:c r="R103" s="17"/>
      <x:c r="S103" s="17"/>
      <x:c r="T103" s="17"/>
      <x:c r="U103" s="17"/>
      <x:c r="V103" s="17"/>
      <x:c r="W103" s="17"/>
      <x:c r="X103" s="17"/>
      <x:c r="Y103" s="17"/>
      <x:c r="Z103" s="13" t="str">
        <x:f>IF(COUNT(N103:Y103)=0,"",SUM(N103:Y103))</x:f>
      </x:c>
      <x:c r="AA103" s="20" t="str">
        <x:f>IF(OR($J103="",AND($Z103="",$I103="")),"",IF($Z103&lt;&gt;"",$Z103,$I103)*$J103)</x:f>
      </x:c>
      <x:c r="AB103" s="20" t="str">
        <x:f>IF(OR($K103="",AND($Z103="",$I103="")),"",IF($Z103&lt;&gt;"",$Z103,$I103)*$K103)</x:f>
      </x:c>
      <x:c r="AC103" s="21" t="str">
        <x:f>IF(OR($K103="",$L103="",$L103=0),"",($L103-$K103)/$L103)</x:f>
      </x:c>
      <x:c r="AD103" s="14"/>
      <x:c r="AE103" s="14"/>
      <x:c r="AF103" s="14"/>
      <x:c r="AG103" s="14"/>
      <x:c r="AH103" s="14"/>
      <x:c r="AI103" s="14"/>
      <x:c r="AJ103" s="14"/>
      <x:c r="AK103" s="14"/>
      <x:c r="AL103" s="14"/>
      <x:c r="AM103" s="14"/>
      <x:c r="AN103" s="14"/>
      <x:c r="AO103" s="14"/>
      <x:c r="AP103" s="14"/>
      <x:c r="AQ103" s="14"/>
      <x:c r="AR103" s="14"/>
      <x:c r="AS103" s="14"/>
      <x:c r="AT103" s="14"/>
      <x:c r="AU103" s="14"/>
      <x:c r="AV103" s="14"/>
      <x:c r="AW103" s="14"/>
      <x:c r="AX103" s="14"/>
      <x:c r="AY103" s="14"/>
      <x:c r="AZ103" s="14"/>
      <x:c r="BA103" s="10"/>
      <x:c r="BB103" s="10"/>
      <x:c r="BC103" s="10"/>
    </x:row>
    <x:row r="104">
      <x:c r="A104" s="10" t="str">
        <x:f>IF(COUNTA($B104:$M104)&gt;0,ROW()-4,"")</x:f>
      </x:c>
      <x:c r="B104" s="15"/>
      <x:c r="C104" s="10"/>
      <x:c r="D104" s="10"/>
      <x:c r="E104" s="10"/>
      <x:c r="F104" s="15"/>
      <x:c r="G104" s="15"/>
      <x:c r="H104" s="16"/>
      <x:c r="I104" s="16"/>
      <x:c r="J104" s="18"/>
      <x:c r="K104" s="19"/>
      <x:c r="L104" s="19"/>
      <x:c r="M104" s="22"/>
      <x:c r="N104" s="17"/>
      <x:c r="O104" s="17"/>
      <x:c r="P104" s="17"/>
      <x:c r="Q104" s="17"/>
      <x:c r="R104" s="17"/>
      <x:c r="S104" s="17"/>
      <x:c r="T104" s="17"/>
      <x:c r="U104" s="17"/>
      <x:c r="V104" s="17"/>
      <x:c r="W104" s="17"/>
      <x:c r="X104" s="17"/>
      <x:c r="Y104" s="17"/>
      <x:c r="Z104" s="13" t="str">
        <x:f>IF(COUNT(N104:Y104)=0,"",SUM(N104:Y104))</x:f>
      </x:c>
      <x:c r="AA104" s="20" t="str">
        <x:f>IF(OR($J104="",AND($Z104="",$I104="")),"",IF($Z104&lt;&gt;"",$Z104,$I104)*$J104)</x:f>
      </x:c>
      <x:c r="AB104" s="20" t="str">
        <x:f>IF(OR($K104="",AND($Z104="",$I104="")),"",IF($Z104&lt;&gt;"",$Z104,$I104)*$K104)</x:f>
      </x:c>
      <x:c r="AC104" s="21" t="str">
        <x:f>IF(OR($K104="",$L104="",$L104=0),"",($L104-$K104)/$L104)</x:f>
      </x:c>
      <x:c r="AD104" s="14"/>
      <x:c r="AE104" s="14"/>
      <x:c r="AF104" s="14"/>
      <x:c r="AG104" s="14"/>
      <x:c r="AH104" s="14"/>
      <x:c r="AI104" s="14"/>
      <x:c r="AJ104" s="14"/>
      <x:c r="AK104" s="14"/>
      <x:c r="AL104" s="14"/>
      <x:c r="AM104" s="14"/>
      <x:c r="AN104" s="14"/>
      <x:c r="AO104" s="14"/>
      <x:c r="AP104" s="14"/>
      <x:c r="AQ104" s="14"/>
      <x:c r="AR104" s="14"/>
      <x:c r="AS104" s="14"/>
      <x:c r="AT104" s="14"/>
      <x:c r="AU104" s="14"/>
      <x:c r="AV104" s="14"/>
      <x:c r="AW104" s="14"/>
      <x:c r="AX104" s="14"/>
      <x:c r="AY104" s="14"/>
      <x:c r="AZ104" s="14"/>
      <x:c r="BA104" s="10"/>
      <x:c r="BB104" s="10"/>
      <x:c r="BC104" s="10"/>
    </x:row>
  </x:sheetData>
  <x:mergeCells>
    <x:mergeCell ref="A1:BC1"/>
    <x:mergeCell ref="A2:BC2"/>
    <x:mergeCell ref="A3:BC3"/>
  </x:mergeCells>
  <x:dataValidations count="26">
    <x:dataValidation type="list" sqref="F5:F104">
      <x:formula1>'Ladies Categories'!$E$5:$E$49</x:formula1>
    </x:dataValidation>
    <x:dataValidation type="list" sqref="G5:G104">
      <x:formula1>'Size Templates'!$F$5:$F$8</x:formula1>
    </x:dataValidation>
    <x:dataValidation type="whole" operator="between" sqref="N5:Y104">
      <x:formula1>0</x:formula1>
      <x:formula2>100000</x:formula2>
    </x:dataValidation>
    <x:dataValidation type="whole" operator="between" sqref="H5:I104">
      <x:formula1>0</x:formula1>
      <x:formula2>100000</x:formula2>
    </x:dataValidation>
    <x:dataValidation type="list" sqref="AD5:AD104">
      <x:formula1>'Lookup Values'!$H$3:$H$6</x:formula1>
    </x:dataValidation>
    <x:dataValidation type="list" sqref="AE5:AE104">
      <x:formula1>'Lookup Values'!$I$3:$I$6</x:formula1>
    </x:dataValidation>
    <x:dataValidation type="list" sqref="AF5:AF104">
      <x:formula1>'Lookup Values'!$J$3:$J$5</x:formula1>
    </x:dataValidation>
    <x:dataValidation type="list" sqref="AG5:AG104">
      <x:formula1>'Lookup Values'!$K$3:$K$5</x:formula1>
    </x:dataValidation>
    <x:dataValidation type="list" sqref="AI5:AI104">
      <x:formula1>'Lookup Values'!$M$3:$M$36</x:formula1>
    </x:dataValidation>
    <x:dataValidation type="list" sqref="AJ5:AJ104">
      <x:formula1>'Lookup Values'!$N$3:$N$18</x:formula1>
    </x:dataValidation>
    <x:dataValidation type="list" sqref="AK5:AK104">
      <x:formula1>'Lookup Values'!$O$3:$O$17</x:formula1>
    </x:dataValidation>
    <x:dataValidation type="list" sqref="AL5:AL104">
      <x:formula1>'Lookup Values'!$P$3:$P$20</x:formula1>
    </x:dataValidation>
    <x:dataValidation type="list" sqref="AM5:AM104">
      <x:formula1>'Lookup Values'!$Q$3:$Q$9</x:formula1>
    </x:dataValidation>
    <x:dataValidation type="list" sqref="AN5:AN104">
      <x:formula1>'Lookup Values'!$R$3:$R$8</x:formula1>
    </x:dataValidation>
    <x:dataValidation type="list" sqref="AO5:AO104">
      <x:formula1>'Lookup Values'!$S$3:$S$12</x:formula1>
    </x:dataValidation>
    <x:dataValidation type="list" sqref="AP5:AP104">
      <x:formula1>'Lookup Values'!$T$3:$T$8</x:formula1>
    </x:dataValidation>
    <x:dataValidation type="list" sqref="AQ5:AQ104">
      <x:formula1>'Lookup Values'!$U$3:$U$8</x:formula1>
    </x:dataValidation>
    <x:dataValidation type="list" sqref="AR5:AR104">
      <x:formula1>'Lookup Values'!$V$3:$V$6</x:formula1>
    </x:dataValidation>
    <x:dataValidation type="list" sqref="AS5:AS104">
      <x:formula1>'Lookup Values'!$W$3:$W$25</x:formula1>
    </x:dataValidation>
    <x:dataValidation type="list" sqref="AT5:AT104">
      <x:formula1>'Lookup Values'!$X$3:$X$10</x:formula1>
    </x:dataValidation>
    <x:dataValidation type="list" sqref="AU5:AU104">
      <x:formula1>'Lookup Values'!$Y$3:$Y$9</x:formula1>
    </x:dataValidation>
    <x:dataValidation type="list" sqref="AV5:AV104">
      <x:formula1>'Lookup Values'!$Z$3:$Z$17</x:formula1>
    </x:dataValidation>
    <x:dataValidation type="list" sqref="AW5:AW104">
      <x:formula1>'Lookup Values'!$AA$3:$AA$9</x:formula1>
    </x:dataValidation>
    <x:dataValidation type="list" sqref="AX5:AX104">
      <x:formula1>'Lookup Values'!$AB$3:$AB$7</x:formula1>
    </x:dataValidation>
    <x:dataValidation type="list" sqref="AY5:AY104">
      <x:formula1>'Lookup Values'!$AC$3:$AC$9</x:formula1>
    </x:dataValidation>
    <x:dataValidation type="list" sqref="AZ5:AZ104">
      <x:formula1>'Lookup Values'!$AD$3:$AD$4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1ea80af3e554b8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8" max="8" width="22.209999084472656" hidden="0" customWidth="1"/>
    <x:col min="9" max="9" width="22.209999084472656" hidden="0" customWidth="1"/>
    <x:col min="10" max="10" width="22.209999084472656" hidden="0" customWidth="1"/>
    <x:col min="11" max="11" width="22.209999084472656" hidden="0" customWidth="1"/>
    <x:col min="12" max="12" width="22.209999084472656" hidden="0" customWidth="1"/>
    <x:col min="13" max="13" width="22.209999084472656" hidden="0" customWidth="1"/>
    <x:col min="14" max="14" width="22.209999084472656" hidden="0" customWidth="1"/>
    <x:col min="15" max="15" width="22.209999084472656" hidden="0" customWidth="1"/>
    <x:col min="16" max="16" width="22.209999084472656" hidden="0" customWidth="1"/>
    <x:col min="17" max="17" width="22.209999084472656" hidden="0" customWidth="1"/>
    <x:col min="18" max="18" width="22.209999084472656" hidden="0" customWidth="1"/>
    <x:col min="19" max="19" width="22.209999084472656" hidden="0" customWidth="1"/>
    <x:col min="20" max="20" width="22.209999084472656" hidden="0" customWidth="1"/>
    <x:col min="21" max="21" width="22.209999084472656" hidden="0" customWidth="1"/>
    <x:col min="22" max="22" width="22.209999084472656" hidden="0" customWidth="1"/>
    <x:col min="23" max="23" width="22.209999084472656" hidden="0" customWidth="1"/>
    <x:col min="24" max="24" width="22.209999084472656" hidden="0" customWidth="1"/>
    <x:col min="25" max="25" width="22.209999084472656" hidden="0" customWidth="1"/>
    <x:col min="26" max="26" width="22.209999084472656" hidden="0" customWidth="1"/>
    <x:col min="27" max="27" width="22.209999084472656" hidden="0" customWidth="1"/>
    <x:col min="28" max="28" width="22.209999084472656" hidden="0" customWidth="1"/>
    <x:col min="29" max="29" width="22.209999084472656" hidden="0" customWidth="1"/>
    <x:col min="30" max="30" width="22.209999084472656" hidden="0" customWidth="1"/>
    <x:col min="1" max="1" width="16.81999969482422" hidden="0" customWidth="1"/>
    <x:col min="2" max="2" width="20.860000610351562" hidden="0" customWidth="1"/>
    <x:col min="3" max="3" width="15.479999542236328" hidden="0" customWidth="1"/>
    <x:col min="4" max="4" width="22.209999084472656" hidden="0" customWidth="1"/>
    <x:col min="5" max="5" width="28.940000534057617" hidden="0" customWidth="1"/>
    <x:col min="6" max="6" width="12.109999656677246" hidden="0" customWidth="1"/>
  </x:cols>
  <x:sheetData>
    <x:row r="1">
      <x:c r="A1" s="23" t="str">
        <x:v>Lookup Values</x:v>
      </x:c>
      <x:c r="B1" s="23"/>
      <x:c r="C1" s="23"/>
      <x:c r="D1" s="23"/>
      <x:c r="E1" s="23"/>
      <x:c r="F1" s="23"/>
      <x:c r="H1" s="26" t="str">
        <x:v>gender</x:v>
      </x:c>
      <x:c r="I1" s="26" t="str">
        <x:v>buyer</x:v>
      </x:c>
      <x:c r="J1" s="26" t="str">
        <x:v>company</x:v>
      </x:c>
      <x:c r="K1" s="26" t="str">
        <x:v>store_chain</x:v>
      </x:c>
      <x:c r="L1" s="26" t="str">
        <x:v>discount_type</x:v>
      </x:c>
      <x:c r="M1" s="26" t="str">
        <x:v>color</x:v>
      </x:c>
      <x:c r="N1" s="26" t="str">
        <x:v>color_family</x:v>
      </x:c>
      <x:c r="O1" s="26" t="str">
        <x:v>shoe_type</x:v>
      </x:c>
      <x:c r="P1" s="26" t="str">
        <x:v>upper_material</x:v>
      </x:c>
      <x:c r="Q1" s="26" t="str">
        <x:v>outsole_material</x:v>
      </x:c>
      <x:c r="R1" s="26" t="str">
        <x:v>heel_height</x:v>
      </x:c>
      <x:c r="S1" s="26" t="str">
        <x:v>heel_shape</x:v>
      </x:c>
      <x:c r="T1" s="26" t="str">
        <x:v>heel_material</x:v>
      </x:c>
      <x:c r="U1" s="26" t="str">
        <x:v>toe_shape</x:v>
      </x:c>
      <x:c r="V1" s="26" t="str">
        <x:v>width_type</x:v>
      </x:c>
      <x:c r="W1" s="26" t="str">
        <x:v>closure_type</x:v>
      </x:c>
      <x:c r="X1" s="26" t="str">
        <x:v>pattern</x:v>
      </x:c>
      <x:c r="Y1" s="26" t="str">
        <x:v>finish</x:v>
      </x:c>
      <x:c r="Z1" s="26" t="str">
        <x:v>accessory</x:v>
      </x:c>
      <x:c r="AA1" s="26" t="str">
        <x:v>occasion</x:v>
      </x:c>
      <x:c r="AB1" s="26" t="str">
        <x:v>label_type</x:v>
      </x:c>
      <x:c r="AC1" s="26" t="str">
        <x:v>macro_dept</x:v>
      </x:c>
      <x:c r="AD1" s="26" t="str">
        <x:v>marca</x:v>
      </x:c>
    </x:row>
    <x:row r="2">
      <x:c r="A2" s="5" t="str">
        <x:v>Reference values used by the Order Sheet dropdowns. Multi-value dimensions may be entered as comma-separated labels.</x:v>
      </x:c>
      <x:c r="B2" s="5"/>
      <x:c r="C2" s="5"/>
      <x:c r="D2" s="5"/>
      <x:c r="E2" s="5"/>
      <x:c r="F2" s="5"/>
      <x:c r="H2" s="26" t="str">
        <x:v>Gênero</x:v>
      </x:c>
      <x:c r="I2" s="26" t="str">
        <x:v>Comprador</x:v>
      </x:c>
      <x:c r="J2" s="26" t="str">
        <x:v>Empresa</x:v>
      </x:c>
      <x:c r="K2" s="26" t="str">
        <x:v>Cadena</x:v>
      </x:c>
      <x:c r="L2" s="26" t="str">
        <x:v>Tipo de Descuento</x:v>
      </x:c>
      <x:c r="M2" s="26" t="str">
        <x:v>Color</x:v>
      </x:c>
      <x:c r="N2" s="26" t="str">
        <x:v>Familia de Color</x:v>
      </x:c>
      <x:c r="O2" s="26" t="str">
        <x:v>Tipo de Zapato</x:v>
      </x:c>
      <x:c r="P2" s="26" t="str">
        <x:v>Material Superior</x:v>
      </x:c>
      <x:c r="Q2" s="26" t="str">
        <x:v>Material de Suela</x:v>
      </x:c>
      <x:c r="R2" s="26" t="str">
        <x:v>Altura del Tacón</x:v>
      </x:c>
      <x:c r="S2" s="26" t="str">
        <x:v>Forma del Tacón</x:v>
      </x:c>
      <x:c r="T2" s="26" t="str">
        <x:v>Material del Tacón</x:v>
      </x:c>
      <x:c r="U2" s="26" t="str">
        <x:v>Forma de la Punta</x:v>
      </x:c>
      <x:c r="V2" s="26" t="str">
        <x:v>Ancho</x:v>
      </x:c>
      <x:c r="W2" s="26" t="str">
        <x:v>Tipo de Cierre</x:v>
      </x:c>
      <x:c r="X2" s="26" t="str">
        <x:v>Patrón</x:v>
      </x:c>
      <x:c r="Y2" s="26" t="str">
        <x:v>Acabado</x:v>
      </x:c>
      <x:c r="Z2" s="26" t="str">
        <x:v>Accesorio</x:v>
      </x:c>
      <x:c r="AA2" s="26" t="str">
        <x:v>Ocasión</x:v>
      </x:c>
      <x:c r="AB2" s="26" t="str">
        <x:v>Tipo de Etiqueta</x:v>
      </x:c>
      <x:c r="AC2" s="26" t="str">
        <x:v>Departamento Macro</x:v>
      </x:c>
      <x:c r="AD2" s="26" t="str">
        <x:v>Marca</x:v>
      </x:c>
    </x:row>
    <x:row r="3">
      <x:c r="H3" t="str">
        <x:v>Hombre [hombre]</x:v>
      </x:c>
      <x:c r="I3" t="str">
        <x:v>Zacarias Bendeck [zb]</x:v>
      </x:c>
      <x:c r="J3" t="str">
        <x:v>Inversiones Benlow [ibl]</x:v>
      </x:c>
      <x:c r="K3" t="str">
        <x:v>Magic Shoes [magi]</x:v>
      </x:c>
      <x:c r="L3" t="str">
        <x:v>10% off [pct_10]</x:v>
      </x:c>
      <x:c r="M3" t="str">
        <x:v>Amarillo [19]</x:v>
      </x:c>
      <x:c r="N3" t="str">
        <x:v>black [black]</x:v>
      </x:c>
      <x:c r="O3" t="str">
        <x:v>Bota [3]</x:v>
      </x:c>
      <x:c r="P3" t="str">
        <x:v>PU (Polyuretano) [pu]</x:v>
      </x:c>
      <x:c r="Q3" t="str">
        <x:v>Cuero [4]</x:v>
      </x:c>
      <x:c r="R3" t="str">
        <x:v>Muy Alto (4+ in) [6]</x:v>
      </x:c>
      <x:c r="S3" t="str">
        <x:v>Chunky/Block [2]</x:v>
      </x:c>
      <x:c r="T3" t="str">
        <x:v>Ballena [4]</x:v>
      </x:c>
      <x:c r="U3" t="str">
        <x:v>Abierta [5]</x:v>
      </x:c>
      <x:c r="V3" t="str">
        <x:v>Ancho [3]</x:v>
      </x:c>
      <x:c r="W3" t="str">
        <x:v>Ankle Strap [4]</x:v>
      </x:c>
      <x:c r="X3" t="str">
        <x:v>Animal Print [2]</x:v>
      </x:c>
      <x:c r="Y3" t="str">
        <x:v>Brilloso [3]</x:v>
      </x:c>
      <x:c r="Z3" t="str">
        <x:v>Adorno Metalico [3]</x:v>
      </x:c>
      <x:c r="AA3" t="str">
        <x:v>Casual [1]</x:v>
      </x:c>
      <x:c r="AB3" t="str">
        <x:v>Hang Tags [4]</x:v>
      </x:c>
      <x:c r="AC3" t="str">
        <x:v>Fiesta [fiesta]</x:v>
      </x:c>
      <x:c r="AD3" t="str">
        <x:v>Kisses [kisses]</x:v>
      </x:c>
    </x:row>
    <x:row r="4">
      <x:c r="A4" s="8" t="str">
        <x:v>Dimension Code</x:v>
      </x:c>
      <x:c r="B4" s="8" t="str">
        <x:v>Dimension Label</x:v>
      </x:c>
      <x:c r="C4" s="8" t="str">
        <x:v>Value Code</x:v>
      </x:c>
      <x:c r="D4" s="8" t="str">
        <x:v>Value Label</x:v>
      </x:c>
      <x:c r="E4" s="8" t="str">
        <x:v>Dropdown Label</x:v>
      </x:c>
      <x:c r="F4" s="8" t="str">
        <x:v>Multi Value</x:v>
      </x:c>
      <x:c r="H4" t="str">
        <x:v>Mujer [mujer]</x:v>
      </x:c>
      <x:c r="I4" t="str">
        <x:v>Alejandro Bendeck [ab]</x:v>
      </x:c>
      <x:c r="J4" t="str">
        <x:v>Corporación Xena [cxn]</x:v>
      </x:c>
      <x:c r="K4" t="str">
        <x:v>Unlimited [unli]</x:v>
      </x:c>
      <x:c r="L4" t="str">
        <x:v>20% off [pct_20]</x:v>
      </x:c>
      <x:c r="M4" t="str">
        <x:v>Azul [11]</x:v>
      </x:c>
      <x:c r="N4" t="str">
        <x:v>Neutros [neutral]</x:v>
      </x:c>
      <x:c r="O4" t="str">
        <x:v>Bota Corta [12]</x:v>
      </x:c>
      <x:c r="P4" t="str">
        <x:v>Patent (Charol) [pt]</x:v>
      </x:c>
      <x:c r="Q4" t="str">
        <x:v>EVA [6]</x:v>
      </x:c>
      <x:c r="R4" t="str">
        <x:v>Plano (0-1 in) [2]</x:v>
      </x:c>
      <x:c r="S4" t="str">
        <x:v>Cone [5]</x:v>
      </x:c>
      <x:c r="T4" t="str">
        <x:v>Espartillo [6]</x:v>
      </x:c>
      <x:c r="U4" t="str">
        <x:v>Almendra [2]</x:v>
      </x:c>
      <x:c r="V4" t="str">
        <x:v>Angosto [1]</x:v>
      </x:c>
      <x:c r="W4" t="str">
        <x:v>Atletico [5]</x:v>
      </x:c>
      <x:c r="X4" t="str">
        <x:v>Bordado [7]</x:v>
      </x:c>
      <x:c r="Y4" t="str">
        <x:v>Distressed [7]</x:v>
      </x:c>
      <x:c r="Z4" t="str">
        <x:v>Bordado [9]</x:v>
      </x:c>
      <x:c r="AA4" t="str">
        <x:v>Deportivo [4]</x:v>
      </x:c>
      <x:c r="AB4" t="str">
        <x:v>No Labels [1]</x:v>
      </x:c>
      <x:c r="AC4" t="str">
        <x:v>Casual [casual]</x:v>
      </x:c>
      <x:c r="AD4" t="str">
        <x:v>Gianni Salvatore [gianni_salvatore]</x:v>
      </x:c>
    </x:row>
    <x:row r="5">
      <x:c r="A5" t="str">
        <x:v>gender</x:v>
      </x:c>
      <x:c r="B5" t="str">
        <x:v>Gênero</x:v>
      </x:c>
      <x:c r="C5" t="str">
        <x:v>hombre</x:v>
      </x:c>
      <x:c r="D5" t="str">
        <x:v>Hombre</x:v>
      </x:c>
      <x:c r="E5" t="str">
        <x:v>Hombre [hombre]</x:v>
      </x:c>
      <x:c r="F5" t="str">
        <x:v>No</x:v>
      </x:c>
      <x:c r="H5" t="str">
        <x:v>Niño [nino]</x:v>
      </x:c>
      <x:c r="I5" t="str">
        <x:v>Alex Bendeck [axb]</x:v>
      </x:c>
      <x:c r="J5" t="str">
        <x:v>Compañía Comercial de Tegucigalpa [cct]</x:v>
      </x:c>
      <x:c r="K5" t="str">
        <x:v>Fashion [fash]</x:v>
      </x:c>
      <x:c r="L5" t="str">
        <x:v>25% off [pct_25]</x:v>
      </x:c>
      <x:c r="M5" t="str">
        <x:v>Beige [3]</x:v>
      </x:c>
      <x:c r="N5" t="str">
        <x:v>white [white]</x:v>
      </x:c>
      <x:c r="O5" t="str">
        <x:v>Chancla [13]</x:v>
      </x:c>
      <x:c r="P5" t="str">
        <x:v>Nubuck [nu]</x:v>
      </x:c>
      <x:c r="Q5" t="str">
        <x:v>Goma [1]</x:v>
      </x:c>
      <x:c r="R5" t="str">
        <x:v>Sin Tacon / Deportivo (0 in) [1]</x:v>
      </x:c>
      <x:c r="S5" t="str">
        <x:v>Flat/None [9]</x:v>
      </x:c>
      <x:c r="T5" t="str">
        <x:v>Forrado [2]</x:v>
      </x:c>
      <x:c r="U5" t="str">
        <x:v>Cuadrada [3]</x:v>
      </x:c>
      <x:c r="V5" t="str">
        <x:v>Extra Ancho [4]</x:v>
      </x:c>
      <x:c r="W5" t="str">
        <x:v>Ballerina [12]</x:v>
      </x:c>
      <x:c r="X5" t="str">
        <x:v>Cuadros [6]</x:v>
      </x:c>
      <x:c r="Y5" t="str">
        <x:v>Estampado [6]</x:v>
      </x:c>
      <x:c r="Z5" t="str">
        <x:v>Cadena [13]</x:v>
      </x:c>
      <x:c r="AA5" t="str">
        <x:v>Diario [7]</x:v>
      </x:c>
      <x:c r="AB5" t="str">
        <x:v>Other Labels [5]</x:v>
      </x:c>
      <x:c r="AC5" t="str">
        <x:v>Formal [formal]</x:v>
      </x:c>
    </x:row>
    <x:row r="6">
      <x:c r="A6" t="str">
        <x:v>gender</x:v>
      </x:c>
      <x:c r="B6" t="str">
        <x:v>Gênero</x:v>
      </x:c>
      <x:c r="C6" t="str">
        <x:v>mujer</x:v>
      </x:c>
      <x:c r="D6" t="str">
        <x:v>Mujer</x:v>
      </x:c>
      <x:c r="E6" t="str">
        <x:v>Mujer [mujer]</x:v>
      </x:c>
      <x:c r="F6" t="str">
        <x:v>No</x:v>
      </x:c>
      <x:c r="H6" t="str">
        <x:v>Niña [nina]</x:v>
      </x:c>
      <x:c r="I6" t="str">
        <x:v>Doña Mónica [dm]</x:v>
      </x:c>
      <x:c r="L6" t="str">
        <x:v>30% off [pct_30]</x:v>
      </x:c>
      <x:c r="M6" t="str">
        <x:v>Crema [crema]</x:v>
      </x:c>
      <x:c r="N6" t="str">
        <x:v>Metalicos [metallic]</x:v>
      </x:c>
      <x:c r="O6" t="str">
        <x:v>Derby [15]</x:v>
      </x:c>
      <x:c r="P6" t="str">
        <x:v>Special Material [sp]</x:v>
      </x:c>
      <x:c r="Q6" t="str">
        <x:v>PU [3]</x:v>
      </x:c>
      <x:c r="R6" t="str">
        <x:v>Tacon Alto (3-4 in) [5]</x:v>
      </x:c>
      <x:c r="S6" t="str">
        <x:v>Kitten [4]</x:v>
      </x:c>
      <x:c r="T6" t="str">
        <x:v>Goma [5]</x:v>
      </x:c>
      <x:c r="U6" t="str">
        <x:v>Peep Toe [6]</x:v>
      </x:c>
      <x:c r="V6" t="str">
        <x:v>Regular [2]</x:v>
      </x:c>
      <x:c r="W6" t="str">
        <x:v>Clog [21]</x:v>
      </x:c>
      <x:c r="X6" t="str">
        <x:v>Floral [3]</x:v>
      </x:c>
      <x:c r="Y6" t="str">
        <x:v>Liso [1]</x:v>
      </x:c>
      <x:c r="Z6" t="str">
        <x:v>Cintas [15]</x:v>
      </x:c>
      <x:c r="AA6" t="str">
        <x:v>Fiesta/Gala [3]</x:v>
      </x:c>
      <x:c r="AB6" t="str">
        <x:v>Regular Labels [2]</x:v>
      </x:c>
      <x:c r="AC6" t="str">
        <x:v>Deportivo [deportivo]</x:v>
      </x:c>
    </x:row>
    <x:row r="7">
      <x:c r="A7" t="str">
        <x:v>gender</x:v>
      </x:c>
      <x:c r="B7" t="str">
        <x:v>Gênero</x:v>
      </x:c>
      <x:c r="C7" t="str">
        <x:v>nino</x:v>
      </x:c>
      <x:c r="D7" t="str">
        <x:v>Niño</x:v>
      </x:c>
      <x:c r="E7" t="str">
        <x:v>Niño [nino]</x:v>
      </x:c>
      <x:c r="F7" t="str">
        <x:v>No</x:v>
      </x:c>
      <x:c r="L7" t="str">
        <x:v>40% off [pct_40]</x:v>
      </x:c>
      <x:c r="M7" t="str">
        <x:v>Blanco [2]</x:v>
      </x:c>
      <x:c r="N7" t="str">
        <x:v>gray [gray]</x:v>
      </x:c>
      <x:c r="O7" t="str">
        <x:v>Espadrille [10]</x:v>
      </x:c>
      <x:c r="P7" t="str">
        <x:v>Metalico [me]</x:v>
      </x:c>
      <x:c r="Q7" t="str">
        <x:v>Sintetico [5]</x:v>
      </x:c>
      <x:c r="R7" t="str">
        <x:v>Tacon Bajo (1-2 in) [3]</x:v>
      </x:c>
      <x:c r="S7" t="str">
        <x:v>Platform [8]</x:v>
      </x:c>
      <x:c r="T7" t="str">
        <x:v>Hule [3]</x:v>
      </x:c>
      <x:c r="U7" t="str">
        <x:v>Puntiaguda [4]</x:v>
      </x:c>
      <x:c r="W7" t="str">
        <x:v>De Seguridad [25]</x:v>
      </x:c>
      <x:c r="X7" t="str">
        <x:v>Geometrico [4]</x:v>
      </x:c>
      <x:c r="Y7" t="str">
        <x:v>Mate [4]</x:v>
      </x:c>
      <x:c r="Z7" t="str">
        <x:v>Cordones [14]</x:v>
      </x:c>
      <x:c r="AA7" t="str">
        <x:v>Formal [6]</x:v>
      </x:c>
      <x:c r="AB7" t="str">
        <x:v>Small Labels [3]</x:v>
      </x:c>
      <x:c r="AC7" t="str">
        <x:v>Botas [botas]</x:v>
      </x:c>
    </x:row>
    <x:row r="8">
      <x:c r="A8" t="str">
        <x:v>gender</x:v>
      </x:c>
      <x:c r="B8" t="str">
        <x:v>Gênero</x:v>
      </x:c>
      <x:c r="C8" t="str">
        <x:v>nina</x:v>
      </x:c>
      <x:c r="D8" t="str">
        <x:v>Niña</x:v>
      </x:c>
      <x:c r="E8" t="str">
        <x:v>Niña [nina]</x:v>
      </x:c>
      <x:c r="F8" t="str">
        <x:v>No</x:v>
      </x:c>
      <x:c r="L8" t="str">
        <x:v>45% off [pct_45]</x:v>
      </x:c>
      <x:c r="M8" t="str">
        <x:v>Bordo [9]</x:v>
      </x:c>
      <x:c r="N8" t="str">
        <x:v>Rojos [red]</x:v>
      </x:c>
      <x:c r="O8" t="str">
        <x:v>Flat [5]</x:v>
      </x:c>
      <x:c r="P8" t="str">
        <x:v>Suede [su]</x:v>
      </x:c>
      <x:c r="Q8" t="str">
        <x:v>TPR [2]</x:v>
      </x:c>
      <x:c r="R8" t="str">
        <x:v>Tacon Medio (2-3 in) [4]</x:v>
      </x:c>
      <x:c r="S8" t="str">
        <x:v>Spool [6]</x:v>
      </x:c>
      <x:c r="T8" t="str">
        <x:v>Plastico [1]</x:v>
      </x:c>
      <x:c r="U8" t="str">
        <x:v>Redonda [1]</x:v>
      </x:c>
      <x:c r="W8" t="str">
        <x:v>De Servicio [23]</x:v>
      </x:c>
      <x:c r="X8" t="str">
        <x:v>Liso [1]</x:v>
      </x:c>
      <x:c r="Y8" t="str">
        <x:v>Metalico [5]</x:v>
      </x:c>
      <x:c r="Z8" t="str">
        <x:v>Dije / Charm [4]</x:v>
      </x:c>
      <x:c r="AA8" t="str">
        <x:v>Playa [5]</x:v>
      </x:c>
      <x:c r="AC8" t="str">
        <x:v>Sandalia de Playa [sandalia_playa]</x:v>
      </x:c>
    </x:row>
    <x:row r="9">
      <x:c r="A9" t="str">
        <x:v>buyer</x:v>
      </x:c>
      <x:c r="B9" t="str">
        <x:v>Comprador</x:v>
      </x:c>
      <x:c r="C9" t="str">
        <x:v>zb</x:v>
      </x:c>
      <x:c r="D9" t="str">
        <x:v>Zacarias Bendeck</x:v>
      </x:c>
      <x:c r="E9" t="str">
        <x:v>Zacarias Bendeck [zb]</x:v>
      </x:c>
      <x:c r="F9" t="str">
        <x:v>No</x:v>
      </x:c>
      <x:c r="L9" t="str">
        <x:v>50% off [pct_50]</x:v>
      </x:c>
      <x:c r="M9" t="str">
        <x:v>Cafe [5]</x:v>
      </x:c>
      <x:c r="N9" t="str">
        <x:v>Marrones [brown]</x:v>
      </x:c>
      <x:c r="O9" t="str">
        <x:v>Loafer [8]</x:v>
      </x:c>
      <x:c r="P9" t="str">
        <x:v>Tela [te]</x:v>
      </x:c>
      <x:c r="Q9" t="str">
        <x:v>Madera [7]</x:v>
      </x:c>
      <x:c r="S9" t="str">
        <x:v>Stacked [7]</x:v>
      </x:c>
      <x:c r="W9" t="str">
        <x:v>High Top [14]</x:v>
      </x:c>
      <x:c r="X9" t="str">
        <x:v>Rayas [5]</x:v>
      </x:c>
      <x:c r="Y9" t="str">
        <x:v>Texturizado [2]</x:v>
      </x:c>
      <x:c r="Z9" t="str">
        <x:v>Flecos [8]</x:v>
      </x:c>
      <x:c r="AA9" t="str">
        <x:v>Trabajo/Oficina [2]</x:v>
      </x:c>
      <x:c r="AC9" t="str">
        <x:v>Comfort [comfort]</x:v>
      </x:c>
    </x:row>
    <x:row r="10">
      <x:c r="A10" t="str">
        <x:v>buyer</x:v>
      </x:c>
      <x:c r="B10" t="str">
        <x:v>Comprador</x:v>
      </x:c>
      <x:c r="C10" t="str">
        <x:v>ab</x:v>
      </x:c>
      <x:c r="D10" t="str">
        <x:v>Alejandro Bendeck</x:v>
      </x:c>
      <x:c r="E10" t="str">
        <x:v>Alejandro Bendeck [ab]</x:v>
      </x:c>
      <x:c r="F10" t="str">
        <x:v>No</x:v>
      </x:c>
      <x:c r="L10" t="str">
        <x:v>60% off [pct_60]</x:v>
      </x:c>
      <x:c r="M10" t="str">
        <x:v>Camel [6]</x:v>
      </x:c>
      <x:c r="N10" t="str">
        <x:v>orange [orange]</x:v>
      </x:c>
      <x:c r="O10" t="str">
        <x:v>Mocasin [11]</x:v>
      </x:c>
      <x:c r="P10" t="str">
        <x:v>Leather (Cuero) [lt]</x:v>
      </x:c>
      <x:c r="S10" t="str">
        <x:v>Stiletto [1]</x:v>
      </x:c>
      <x:c r="W10" t="str">
        <x:v>Hiking [24]</x:v>
      </x:c>
      <x:c r="X10" t="str">
        <x:v>Woven [8]</x:v>
      </x:c>
      <x:c r="Z10" t="str">
        <x:v>Hebilla [2]</x:v>
      </x:c>
    </x:row>
    <x:row r="11">
      <x:c r="A11" t="str">
        <x:v>buyer</x:v>
      </x:c>
      <x:c r="B11" t="str">
        <x:v>Comprador</x:v>
      </x:c>
      <x:c r="C11" t="str">
        <x:v>axb</x:v>
      </x:c>
      <x:c r="D11" t="str">
        <x:v>Alex Bendeck</x:v>
      </x:c>
      <x:c r="E11" t="str">
        <x:v>Alex Bendeck [axb]</x:v>
      </x:c>
      <x:c r="F11" t="str">
        <x:v>No</x:v>
      </x:c>
      <x:c r="L11" t="str">
        <x:v>70% off [pct_70]</x:v>
      </x:c>
      <x:c r="M11" t="str">
        <x:v>Dorado [15]</x:v>
      </x:c>
      <x:c r="N11" t="str">
        <x:v>yellow [yellow]</x:v>
      </x:c>
      <x:c r="O11" t="str">
        <x:v>Mule [6]</x:v>
      </x:c>
      <x:c r="P11" t="str">
        <x:v>Satin [sa]</x:v>
      </x:c>
      <x:c r="S11" t="str">
        <x:v>Wedge [3]</x:v>
      </x:c>
      <x:c r="W11" t="str">
        <x:v>Loafer [9]</x:v>
      </x:c>
      <x:c r="Z11" t="str">
        <x:v>Lazos [6]</x:v>
      </x:c>
    </x:row>
    <x:row r="12">
      <x:c r="A12" t="str">
        <x:v>buyer</x:v>
      </x:c>
      <x:c r="B12" t="str">
        <x:v>Comprador</x:v>
      </x:c>
      <x:c r="C12" t="str">
        <x:v>dm</x:v>
      </x:c>
      <x:c r="D12" t="str">
        <x:v>Doña Mónica</x:v>
      </x:c>
      <x:c r="E12" t="str">
        <x:v>Doña Mónica [dm]</x:v>
      </x:c>
      <x:c r="F12" t="str">
        <x:v>No</x:v>
      </x:c>
      <x:c r="L12" t="str">
        <x:v>80% off [pct_80]</x:v>
      </x:c>
      <x:c r="M12" t="str">
        <x:v>Chocolate [chocolate]</x:v>
      </x:c>
      <x:c r="N12" t="str">
        <x:v>purple [purple]</x:v>
      </x:c>
      <x:c r="O12" t="str">
        <x:v>Oxford [7]</x:v>
      </x:c>
      <x:c r="P12" t="str">
        <x:v>Black/Combinado [cb]</x:v>
      </x:c>
      <x:c r="S12" t="str">
        <x:v>Gruesa Plana [gruesa_plana]</x:v>
      </x:c>
      <x:c r="W12" t="str">
        <x:v>Low Top [1]</x:v>
      </x:c>
      <x:c r="Z12" t="str">
        <x:v>Moño [7]</x:v>
      </x:c>
    </x:row>
    <x:row r="13">
      <x:c r="A13" t="str">
        <x:v>company</x:v>
      </x:c>
      <x:c r="B13" t="str">
        <x:v>Empresa</x:v>
      </x:c>
      <x:c r="C13" t="str">
        <x:v>ibl</x:v>
      </x:c>
      <x:c r="D13" t="str">
        <x:v>Inversiones Benlow</x:v>
      </x:c>
      <x:c r="E13" t="str">
        <x:v>Inversiones Benlow [ibl]</x:v>
      </x:c>
      <x:c r="F13" t="str">
        <x:v>No</x:v>
      </x:c>
      <x:c r="L13" t="str">
        <x:v>85% off [pct_85]</x:v>
      </x:c>
      <x:c r="M13" t="str">
        <x:v>Fucsia [14]</x:v>
      </x:c>
      <x:c r="N13" t="str">
        <x:v>print [print]</x:v>
      </x:c>
      <x:c r="O13" t="str">
        <x:v>Plataforma [14]</x:v>
      </x:c>
      <x:c r="P13" t="str">
        <x:v>Crochet/Tejido [cr]</x:v>
      </x:c>
      <x:c r="W13" t="str">
        <x:v>Mary Jane [13]</x:v>
      </x:c>
      <x:c r="Z13" t="str">
        <x:v>Pedreria [10]</x:v>
      </x:c>
    </x:row>
    <x:row r="14">
      <x:c r="A14" t="str">
        <x:v>company</x:v>
      </x:c>
      <x:c r="B14" t="str">
        <x:v>Empresa</x:v>
      </x:c>
      <x:c r="C14" t="str">
        <x:v>cxn</x:v>
      </x:c>
      <x:c r="D14" t="str">
        <x:v>Corporación Xena</x:v>
      </x:c>
      <x:c r="E14" t="str">
        <x:v>Corporación Xena [cxn]</x:v>
      </x:c>
      <x:c r="F14" t="str">
        <x:v>No</x:v>
      </x:c>
      <x:c r="L14" t="str">
        <x:v>90% off [pct_90]</x:v>
      </x:c>
      <x:c r="M14" t="str">
        <x:v>Gris [18]</x:v>
      </x:c>
      <x:c r="N14" t="str">
        <x:v>Rosas [pink]</x:v>
      </x:c>
      <x:c r="O14" t="str">
        <x:v>Pump [1]</x:v>
      </x:c>
      <x:c r="P14" t="str">
        <x:v>Gliter [gl]</x:v>
      </x:c>
      <x:c r="W14" t="str">
        <x:v>Mocasin [19]</x:v>
      </x:c>
      <x:c r="Z14" t="str">
        <x:v>Perlas [11]</x:v>
      </x:c>
    </x:row>
    <x:row r="15">
      <x:c r="A15" t="str">
        <x:v>company</x:v>
      </x:c>
      <x:c r="B15" t="str">
        <x:v>Empresa</x:v>
      </x:c>
      <x:c r="C15" t="str">
        <x:v>cct</x:v>
      </x:c>
      <x:c r="D15" t="str">
        <x:v>Compañía Comercial de Tegucigalpa</x:v>
      </x:c>
      <x:c r="E15" t="str">
        <x:v>Compañía Comercial de Tegucigalpa [cct]</x:v>
      </x:c>
      <x:c r="F15" t="str">
        <x:v>No</x:v>
      </x:c>
      <x:c r="L15" t="str">
        <x:v>2do al 15% [bogo_15]</x:v>
      </x:c>
      <x:c r="M15" t="str">
        <x:v>Morado [21]</x:v>
      </x:c>
      <x:c r="N15" t="str">
        <x:v>Azules [blue]</x:v>
      </x:c>
      <x:c r="O15" t="str">
        <x:v>Sandalia [2]</x:v>
      </x:c>
      <x:c r="P15" t="str">
        <x:v>PVC/Vinilo [pv]</x:v>
      </x:c>
      <x:c r="W15" t="str">
        <x:v>Mule [3]</x:v>
      </x:c>
      <x:c r="Z15" t="str">
        <x:v>Piedras [692]</x:v>
      </x:c>
    </x:row>
    <x:row r="16">
      <x:c r="A16" t="str">
        <x:v>store_chain</x:v>
      </x:c>
      <x:c r="B16" t="str">
        <x:v>Cadena</x:v>
      </x:c>
      <x:c r="C16" t="str">
        <x:v>magi</x:v>
      </x:c>
      <x:c r="D16" t="str">
        <x:v>Magic Shoes</x:v>
      </x:c>
      <x:c r="E16" t="str">
        <x:v>Magic Shoes [magi]</x:v>
      </x:c>
      <x:c r="F16" t="str">
        <x:v>No</x:v>
      </x:c>
      <x:c r="L16" t="str">
        <x:v>2do al 20% [bogo_20]</x:v>
      </x:c>
      <x:c r="M16" t="str">
        <x:v>Multicolor [22]</x:v>
      </x:c>
      <x:c r="N16" t="str">
        <x:v>transparent [transparent]</x:v>
      </x:c>
      <x:c r="O16" t="str">
        <x:v>Sneaker [4]</x:v>
      </x:c>
      <x:c r="P16" t="str">
        <x:v>Fabric [fb]</x:v>
      </x:c>
      <x:c r="W16" t="str">
        <x:v>Oxford [22]</x:v>
      </x:c>
      <x:c r="Z16" t="str">
        <x:v>Sin Accesorio [1]</x:v>
      </x:c>
    </x:row>
    <x:row r="17">
      <x:c r="A17" t="str">
        <x:v>store_chain</x:v>
      </x:c>
      <x:c r="B17" t="str">
        <x:v>Cadena</x:v>
      </x:c>
      <x:c r="C17" t="str">
        <x:v>unli</x:v>
      </x:c>
      <x:c r="D17" t="str">
        <x:v>Unlimited</x:v>
      </x:c>
      <x:c r="E17" t="str">
        <x:v>Unlimited [unli]</x:v>
      </x:c>
      <x:c r="F17" t="str">
        <x:v>No</x:v>
      </x:c>
      <x:c r="L17" t="str">
        <x:v>2do al 30% [bogo_30]</x:v>
      </x:c>
      <x:c r="M17" t="str">
        <x:v>Naranja [20]</x:v>
      </x:c>
      <x:c r="N17" t="str">
        <x:v>Verdes [green]</x:v>
      </x:c>
      <x:c r="O17" t="str">
        <x:v>Wedge [9]</x:v>
      </x:c>
      <x:c r="P17" t="str">
        <x:v>Textil [tx]</x:v>
      </x:c>
      <x:c r="W17" t="str">
        <x:v>Plataforma Cerrada [6]</x:v>
      </x:c>
      <x:c r="Z17" t="str">
        <x:v>Tachuelas [5]</x:v>
      </x:c>
    </x:row>
    <x:row r="18">
      <x:c r="A18" t="str">
        <x:v>store_chain</x:v>
      </x:c>
      <x:c r="B18" t="str">
        <x:v>Cadena</x:v>
      </x:c>
      <x:c r="C18" t="str">
        <x:v>fash</x:v>
      </x:c>
      <x:c r="D18" t="str">
        <x:v>Fashion</x:v>
      </x:c>
      <x:c r="E18" t="str">
        <x:v>Fashion [fash]</x:v>
      </x:c>
      <x:c r="F18" t="str">
        <x:v>No</x:v>
      </x:c>
      <x:c r="L18" t="str">
        <x:v>2do al 35% [bogo_35]</x:v>
      </x:c>
      <x:c r="M18" t="str">
        <x:v>Navy [10]</x:v>
      </x:c>
      <x:c r="N18" t="str">
        <x:v>Especiales [multicolor]</x:v>
      </x:c>
      <x:c r="P18" t="str">
        <x:v>Mesh [ms]</x:v>
      </x:c>
      <x:c r="W18" t="str">
        <x:v>Plataforma Sandalia [2]</x:v>
      </x:c>
    </x:row>
    <x:row r="19">
      <x:c r="A19" t="str">
        <x:v>discount_type</x:v>
      </x:c>
      <x:c r="B19" t="str">
        <x:v>Tipo de Descuento</x:v>
      </x:c>
      <x:c r="C19" t="str">
        <x:v>pct_10</x:v>
      </x:c>
      <x:c r="D19" t="str">
        <x:v>10% off</x:v>
      </x:c>
      <x:c r="E19" t="str">
        <x:v>10% off [pct_10]</x:v>
      </x:c>
      <x:c r="F19" t="str">
        <x:v>Yes</x:v>
      </x:c>
      <x:c r="L19" t="str">
        <x:v>2do al 40% [bogo_40]</x:v>
      </x:c>
      <x:c r="M19" t="str">
        <x:v>Negro [1]</x:v>
      </x:c>
      <x:c r="P19" t="str">
        <x:v>Plastico [pl]</x:v>
      </x:c>
      <x:c r="W19" t="str">
        <x:v>Plataforma Tacon [20]</x:v>
      </x:c>
    </x:row>
    <x:row r="20">
      <x:c r="A20" t="str">
        <x:v>discount_type</x:v>
      </x:c>
      <x:c r="B20" t="str">
        <x:v>Tipo de Descuento</x:v>
      </x:c>
      <x:c r="C20" t="str">
        <x:v>pct_20</x:v>
      </x:c>
      <x:c r="D20" t="str">
        <x:v>20% off</x:v>
      </x:c>
      <x:c r="E20" t="str">
        <x:v>20% off [pct_20]</x:v>
      </x:c>
      <x:c r="F20" t="str">
        <x:v>Yes</x:v>
      </x:c>
      <x:c r="L20" t="str">
        <x:v>2do al 45% [bogo_45]</x:v>
      </x:c>
      <x:c r="M20" t="str">
        <x:v>Coral [coral]</x:v>
      </x:c>
      <x:c r="P20" t="str">
        <x:v>Denim [dn]</x:v>
      </x:c>
      <x:c r="W20" t="str">
        <x:v>Pump [16]</x:v>
      </x:c>
    </x:row>
    <x:row r="21">
      <x:c r="A21" t="str">
        <x:v>discount_type</x:v>
      </x:c>
      <x:c r="B21" t="str">
        <x:v>Tipo de Descuento</x:v>
      </x:c>
      <x:c r="C21" t="str">
        <x:v>pct_25</x:v>
      </x:c>
      <x:c r="D21" t="str">
        <x:v>25% off</x:v>
      </x:c>
      <x:c r="E21" t="str">
        <x:v>25% off [pct_25]</x:v>
      </x:c>
      <x:c r="F21" t="str">
        <x:v>Yes</x:v>
      </x:c>
      <x:c r="L21" t="str">
        <x:v>2do al 50% [bogo_50]</x:v>
      </x:c>
      <x:c r="M21" t="str">
        <x:v>Nude [4]</x:v>
      </x:c>
      <x:c r="W21" t="str">
        <x:v>Sling Back [7]</x:v>
      </x:c>
    </x:row>
    <x:row r="22">
      <x:c r="A22" t="str">
        <x:v>discount_type</x:v>
      </x:c>
      <x:c r="B22" t="str">
        <x:v>Tipo de Descuento</x:v>
      </x:c>
      <x:c r="C22" t="str">
        <x:v>pct_30</x:v>
      </x:c>
      <x:c r="D22" t="str">
        <x:v>30% off</x:v>
      </x:c>
      <x:c r="E22" t="str">
        <x:v>30% off [pct_30]</x:v>
      </x:c>
      <x:c r="F22" t="str">
        <x:v>Yes</x:v>
      </x:c>
      <x:c r="L22" t="str">
        <x:v>2do al 55% [bogo_55]</x:v>
      </x:c>
      <x:c r="M22" t="str">
        <x:v>Plateado [16]</x:v>
      </x:c>
      <x:c r="W22" t="str">
        <x:v>Slip On [18]</x:v>
      </x:c>
    </x:row>
    <x:row r="23">
      <x:c r="A23" t="str">
        <x:v>discount_type</x:v>
      </x:c>
      <x:c r="B23" t="str">
        <x:v>Tipo de Descuento</x:v>
      </x:c>
      <x:c r="C23" t="str">
        <x:v>pct_40</x:v>
      </x:c>
      <x:c r="D23" t="str">
        <x:v>40% off</x:v>
      </x:c>
      <x:c r="E23" t="str">
        <x:v>40% off [pct_40]</x:v>
      </x:c>
      <x:c r="F23" t="str">
        <x:v>Yes</x:v>
      </x:c>
      <x:c r="L23" t="str">
        <x:v>2do al 60% [bogo_60]</x:v>
      </x:c>
      <x:c r="M23" t="str">
        <x:v>Rojo [8]</x:v>
      </x:c>
      <x:c r="W23" t="str">
        <x:v>T-Bar [15]</x:v>
      </x:c>
    </x:row>
    <x:row r="24">
      <x:c r="A24" t="str">
        <x:v>discount_type</x:v>
      </x:c>
      <x:c r="B24" t="str">
        <x:v>Tipo de Descuento</x:v>
      </x:c>
      <x:c r="C24" t="str">
        <x:v>pct_45</x:v>
      </x:c>
      <x:c r="D24" t="str">
        <x:v>45% off</x:v>
      </x:c>
      <x:c r="E24" t="str">
        <x:v>45% off [pct_45]</x:v>
      </x:c>
      <x:c r="F24" t="str">
        <x:v>Yes</x:v>
      </x:c>
      <x:c r="L24" t="str">
        <x:v>2do al 75% [bogo_75]</x:v>
      </x:c>
      <x:c r="M24" t="str">
        <x:v>Rosa [13]</x:v>
      </x:c>
      <x:c r="W24" t="str">
        <x:v>Thong [8]</x:v>
      </x:c>
    </x:row>
    <x:row r="25">
      <x:c r="A25" t="str">
        <x:v>discount_type</x:v>
      </x:c>
      <x:c r="B25" t="str">
        <x:v>Tipo de Descuento</x:v>
      </x:c>
      <x:c r="C25" t="str">
        <x:v>pct_50</x:v>
      </x:c>
      <x:c r="D25" t="str">
        <x:v>50% off</x:v>
      </x:c>
      <x:c r="E25" t="str">
        <x:v>50% off [pct_50]</x:v>
      </x:c>
      <x:c r="F25" t="str">
        <x:v>Yes</x:v>
      </x:c>
      <x:c r="L25" t="str">
        <x:v>2do al 99% [bogo_99]</x:v>
      </x:c>
      <x:c r="M25" t="str">
        <x:v>Rose Gold [17]</x:v>
      </x:c>
      <x:c r="W25" t="str">
        <x:v>Vaquera [17]</x:v>
      </x:c>
    </x:row>
    <x:row r="26">
      <x:c r="A26" t="str">
        <x:v>discount_type</x:v>
      </x:c>
      <x:c r="B26" t="str">
        <x:v>Tipo de Descuento</x:v>
      </x:c>
      <x:c r="C26" t="str">
        <x:v>pct_60</x:v>
      </x:c>
      <x:c r="D26" t="str">
        <x:v>60% off</x:v>
      </x:c>
      <x:c r="E26" t="str">
        <x:v>60% off [pct_60]</x:v>
      </x:c>
      <x:c r="F26" t="str">
        <x:v>Yes</x:v>
      </x:c>
      <x:c r="L26" t="str">
        <x:v>2x1 [multi_2x1]</x:v>
      </x:c>
      <x:c r="M26" t="str">
        <x:v>Verde Oliva [verde_oliva]</x:v>
      </x:c>
    </x:row>
    <x:row r="27">
      <x:c r="A27" t="str">
        <x:v>discount_type</x:v>
      </x:c>
      <x:c r="B27" t="str">
        <x:v>Tipo de Descuento</x:v>
      </x:c>
      <x:c r="C27" t="str">
        <x:v>pct_70</x:v>
      </x:c>
      <x:c r="D27" t="str">
        <x:v>70% off</x:v>
      </x:c>
      <x:c r="E27" t="str">
        <x:v>70% off [pct_70]</x:v>
      </x:c>
      <x:c r="F27" t="str">
        <x:v>Yes</x:v>
      </x:c>
      <x:c r="L27" t="str">
        <x:v>3x1 [multi_3x1]</x:v>
      </x:c>
      <x:c r="M27" t="str">
        <x:v>Tan [7]</x:v>
      </x:c>
    </x:row>
    <x:row r="28">
      <x:c r="A28" t="str">
        <x:v>discount_type</x:v>
      </x:c>
      <x:c r="B28" t="str">
        <x:v>Tipo de Descuento</x:v>
      </x:c>
      <x:c r="C28" t="str">
        <x:v>pct_80</x:v>
      </x:c>
      <x:c r="D28" t="str">
        <x:v>80% off</x:v>
      </x:c>
      <x:c r="E28" t="str">
        <x:v>80% off [pct_80]</x:v>
      </x:c>
      <x:c r="F28" t="str">
        <x:v>Yes</x:v>
      </x:c>
      <x:c r="L28" t="str">
        <x:v>3x2 [multi_3x2]</x:v>
      </x:c>
      <x:c r="M28" t="str">
        <x:v>Verde [12]</x:v>
      </x:c>
    </x:row>
    <x:row r="29">
      <x:c r="A29" t="str">
        <x:v>discount_type</x:v>
      </x:c>
      <x:c r="B29" t="str">
        <x:v>Tipo de Descuento</x:v>
      </x:c>
      <x:c r="C29" t="str">
        <x:v>pct_85</x:v>
      </x:c>
      <x:c r="D29" t="str">
        <x:v>85% off</x:v>
      </x:c>
      <x:c r="E29" t="str">
        <x:v>85% off [pct_85]</x:v>
      </x:c>
      <x:c r="F29" t="str">
        <x:v>Yes</x:v>
      </x:c>
      <x:c r="L29" t="str">
        <x:v>4x1 [multi_4x1]</x:v>
      </x:c>
      <x:c r="M29" t="str">
        <x:v>Celeste [celeste]</x:v>
      </x:c>
    </x:row>
    <x:row r="30">
      <x:c r="A30" t="str">
        <x:v>discount_type</x:v>
      </x:c>
      <x:c r="B30" t="str">
        <x:v>Tipo de Descuento</x:v>
      </x:c>
      <x:c r="C30" t="str">
        <x:v>pct_90</x:v>
      </x:c>
      <x:c r="D30" t="str">
        <x:v>90% off</x:v>
      </x:c>
      <x:c r="E30" t="str">
        <x:v>90% off [pct_90]</x:v>
      </x:c>
      <x:c r="F30" t="str">
        <x:v>Yes</x:v>
      </x:c>
      <x:c r="L30" t="str">
        <x:v>L19 precio fijo [fixed_l19]</x:v>
      </x:c>
      <x:c r="M30" t="str">
        <x:v>Turquesa [turquesa]</x:v>
      </x:c>
    </x:row>
    <x:row r="31">
      <x:c r="A31" t="str">
        <x:v>discount_type</x:v>
      </x:c>
      <x:c r="B31" t="str">
        <x:v>Tipo de Descuento</x:v>
      </x:c>
      <x:c r="C31" t="str">
        <x:v>bogo_15</x:v>
      </x:c>
      <x:c r="D31" t="str">
        <x:v>2do al 15%</x:v>
      </x:c>
      <x:c r="E31" t="str">
        <x:v>2do al 15% [bogo_15]</x:v>
      </x:c>
      <x:c r="F31" t="str">
        <x:v>Yes</x:v>
      </x:c>
      <x:c r="L31" t="str">
        <x:v>L25 precio fijo [fixed_l25]</x:v>
      </x:c>
      <x:c r="M31" t="str">
        <x:v>Animal Print [animal_print]</x:v>
      </x:c>
    </x:row>
    <x:row r="32">
      <x:c r="A32" t="str">
        <x:v>discount_type</x:v>
      </x:c>
      <x:c r="B32" t="str">
        <x:v>Tipo de Descuento</x:v>
      </x:c>
      <x:c r="C32" t="str">
        <x:v>bogo_20</x:v>
      </x:c>
      <x:c r="D32" t="str">
        <x:v>2do al 20%</x:v>
      </x:c>
      <x:c r="E32" t="str">
        <x:v>2do al 20% [bogo_20]</x:v>
      </x:c>
      <x:c r="F32" t="str">
        <x:v>Yes</x:v>
      </x:c>
      <x:c r="L32" t="str">
        <x:v>L29 precio fijo [fixed_l29]</x:v>
      </x:c>
      <x:c r="M32" t="str">
        <x:v>Transparente [transparente]</x:v>
      </x:c>
    </x:row>
    <x:row r="33">
      <x:c r="A33" t="str">
        <x:v>discount_type</x:v>
      </x:c>
      <x:c r="B33" t="str">
        <x:v>Tipo de Descuento</x:v>
      </x:c>
      <x:c r="C33" t="str">
        <x:v>bogo_30</x:v>
      </x:c>
      <x:c r="D33" t="str">
        <x:v>2do al 30%</x:v>
      </x:c>
      <x:c r="E33" t="str">
        <x:v>2do al 30% [bogo_30]</x:v>
      </x:c>
      <x:c r="F33" t="str">
        <x:v>Yes</x:v>
      </x:c>
      <x:c r="L33" t="str">
        <x:v>L39 precio fijo [fixed_l39]</x:v>
      </x:c>
      <x:c r="M33" t="str">
        <x:v>Dark Blue/Azul Oscuro [dbl]</x:v>
      </x:c>
    </x:row>
    <x:row r="34">
      <x:c r="A34" t="str">
        <x:v>discount_type</x:v>
      </x:c>
      <x:c r="B34" t="str">
        <x:v>Tipo de Descuento</x:v>
      </x:c>
      <x:c r="C34" t="str">
        <x:v>bogo_35</x:v>
      </x:c>
      <x:c r="D34" t="str">
        <x:v>2do al 35%</x:v>
      </x:c>
      <x:c r="E34" t="str">
        <x:v>2do al 35% [bogo_35]</x:v>
      </x:c>
      <x:c r="F34" t="str">
        <x:v>Yes</x:v>
      </x:c>
      <x:c r="L34" t="str">
        <x:v>L49 precio fijo [fixed_l49]</x:v>
      </x:c>
      <x:c r="M34" t="str">
        <x:v>Light Gray/Gris Claro [lgy]</x:v>
      </x:c>
    </x:row>
    <x:row r="35">
      <x:c r="A35" t="str">
        <x:v>discount_type</x:v>
      </x:c>
      <x:c r="B35" t="str">
        <x:v>Tipo de Descuento</x:v>
      </x:c>
      <x:c r="C35" t="str">
        <x:v>bogo_40</x:v>
      </x:c>
      <x:c r="D35" t="str">
        <x:v>2do al 40%</x:v>
      </x:c>
      <x:c r="E35" t="str">
        <x:v>2do al 40% [bogo_40]</x:v>
      </x:c>
      <x:c r="F35" t="str">
        <x:v>Yes</x:v>
      </x:c>
      <x:c r="L35" t="str">
        <x:v>L59 precio fijo [fixed_l59]</x:v>
      </x:c>
      <x:c r="M35" t="str">
        <x:v>Dark Gray/Gris Oscuro [dgy]</x:v>
      </x:c>
    </x:row>
    <x:row r="36">
      <x:c r="A36" t="str">
        <x:v>discount_type</x:v>
      </x:c>
      <x:c r="B36" t="str">
        <x:v>Tipo de Descuento</x:v>
      </x:c>
      <x:c r="C36" t="str">
        <x:v>bogo_45</x:v>
      </x:c>
      <x:c r="D36" t="str">
        <x:v>2do al 45%</x:v>
      </x:c>
      <x:c r="E36" t="str">
        <x:v>2do al 45% [bogo_45]</x:v>
      </x:c>
      <x:c r="F36" t="str">
        <x:v>Yes</x:v>
      </x:c>
      <x:c r="L36" t="str">
        <x:v>L69 precio fijo [fixed_l69]</x:v>
      </x:c>
      <x:c r="M36" t="str">
        <x:v>khaki [khaki]</x:v>
      </x:c>
    </x:row>
    <x:row r="37">
      <x:c r="A37" t="str">
        <x:v>discount_type</x:v>
      </x:c>
      <x:c r="B37" t="str">
        <x:v>Tipo de Descuento</x:v>
      </x:c>
      <x:c r="C37" t="str">
        <x:v>bogo_50</x:v>
      </x:c>
      <x:c r="D37" t="str">
        <x:v>2do al 50%</x:v>
      </x:c>
      <x:c r="E37" t="str">
        <x:v>2do al 50% [bogo_50]</x:v>
      </x:c>
      <x:c r="F37" t="str">
        <x:v>Yes</x:v>
      </x:c>
      <x:c r="L37" t="str">
        <x:v>L79 precio fijo [fixed_l79]</x:v>
      </x:c>
    </x:row>
    <x:row r="38">
      <x:c r="A38" t="str">
        <x:v>discount_type</x:v>
      </x:c>
      <x:c r="B38" t="str">
        <x:v>Tipo de Descuento</x:v>
      </x:c>
      <x:c r="C38" t="str">
        <x:v>bogo_55</x:v>
      </x:c>
      <x:c r="D38" t="str">
        <x:v>2do al 55%</x:v>
      </x:c>
      <x:c r="E38" t="str">
        <x:v>2do al 55% [bogo_55]</x:v>
      </x:c>
      <x:c r="F38" t="str">
        <x:v>Yes</x:v>
      </x:c>
      <x:c r="L38" t="str">
        <x:v>L99 precio fijo [fixed_l99]</x:v>
      </x:c>
    </x:row>
    <x:row r="39">
      <x:c r="A39" t="str">
        <x:v>discount_type</x:v>
      </x:c>
      <x:c r="B39" t="str">
        <x:v>Tipo de Descuento</x:v>
      </x:c>
      <x:c r="C39" t="str">
        <x:v>bogo_60</x:v>
      </x:c>
      <x:c r="D39" t="str">
        <x:v>2do al 60%</x:v>
      </x:c>
      <x:c r="E39" t="str">
        <x:v>2do al 60% [bogo_60]</x:v>
      </x:c>
      <x:c r="F39" t="str">
        <x:v>Yes</x:v>
      </x:c>
      <x:c r="L39" t="str">
        <x:v>L199 precio fijo [fixed_l199]</x:v>
      </x:c>
    </x:row>
    <x:row r="40">
      <x:c r="A40" t="str">
        <x:v>discount_type</x:v>
      </x:c>
      <x:c r="B40" t="str">
        <x:v>Tipo de Descuento</x:v>
      </x:c>
      <x:c r="C40" t="str">
        <x:v>bogo_75</x:v>
      </x:c>
      <x:c r="D40" t="str">
        <x:v>2do al 75%</x:v>
      </x:c>
      <x:c r="E40" t="str">
        <x:v>2do al 75% [bogo_75]</x:v>
      </x:c>
      <x:c r="F40" t="str">
        <x:v>Yes</x:v>
      </x:c>
      <x:c r="L40" t="str">
        <x:v>L299 precio fijo [fixed_l299]</x:v>
      </x:c>
    </x:row>
    <x:row r="41">
      <x:c r="A41" t="str">
        <x:v>discount_type</x:v>
      </x:c>
      <x:c r="B41" t="str">
        <x:v>Tipo de Descuento</x:v>
      </x:c>
      <x:c r="C41" t="str">
        <x:v>bogo_99</x:v>
      </x:c>
      <x:c r="D41" t="str">
        <x:v>2do al 99%</x:v>
      </x:c>
      <x:c r="E41" t="str">
        <x:v>2do al 99% [bogo_99]</x:v>
      </x:c>
      <x:c r="F41" t="str">
        <x:v>Yes</x:v>
      </x:c>
      <x:c r="L41" t="str">
        <x:v>L399 precio fijo [fixed_l399]</x:v>
      </x:c>
    </x:row>
    <x:row r="42">
      <x:c r="A42" t="str">
        <x:v>discount_type</x:v>
      </x:c>
      <x:c r="B42" t="str">
        <x:v>Tipo de Descuento</x:v>
      </x:c>
      <x:c r="C42" t="str">
        <x:v>multi_2x1</x:v>
      </x:c>
      <x:c r="D42" t="str">
        <x:v>2x1</x:v>
      </x:c>
      <x:c r="E42" t="str">
        <x:v>2x1 [multi_2x1]</x:v>
      </x:c>
      <x:c r="F42" t="str">
        <x:v>Yes</x:v>
      </x:c>
      <x:c r="L42" t="str">
        <x:v>L499 precio fijo [fixed_l499]</x:v>
      </x:c>
    </x:row>
    <x:row r="43">
      <x:c r="A43" t="str">
        <x:v>discount_type</x:v>
      </x:c>
      <x:c r="B43" t="str">
        <x:v>Tipo de Descuento</x:v>
      </x:c>
      <x:c r="C43" t="str">
        <x:v>multi_3x1</x:v>
      </x:c>
      <x:c r="D43" t="str">
        <x:v>3x1</x:v>
      </x:c>
      <x:c r="E43" t="str">
        <x:v>3x1 [multi_3x1]</x:v>
      </x:c>
      <x:c r="F43" t="str">
        <x:v>Yes</x:v>
      </x:c>
      <x:c r="L43" t="str">
        <x:v>L599 precio fijo [fixed_l599]</x:v>
      </x:c>
    </x:row>
    <x:row r="44">
      <x:c r="A44" t="str">
        <x:v>discount_type</x:v>
      </x:c>
      <x:c r="B44" t="str">
        <x:v>Tipo de Descuento</x:v>
      </x:c>
      <x:c r="C44" t="str">
        <x:v>multi_3x2</x:v>
      </x:c>
      <x:c r="D44" t="str">
        <x:v>3x2</x:v>
      </x:c>
      <x:c r="E44" t="str">
        <x:v>3x2 [multi_3x2]</x:v>
      </x:c>
      <x:c r="F44" t="str">
        <x:v>Yes</x:v>
      </x:c>
      <x:c r="L44" t="str">
        <x:v>L1999 precio fijo [fixed_l1999]</x:v>
      </x:c>
    </x:row>
    <x:row r="45">
      <x:c r="A45" t="str">
        <x:v>discount_type</x:v>
      </x:c>
      <x:c r="B45" t="str">
        <x:v>Tipo de Descuento</x:v>
      </x:c>
      <x:c r="C45" t="str">
        <x:v>multi_4x1</x:v>
      </x:c>
      <x:c r="D45" t="str">
        <x:v>4x1</x:v>
      </x:c>
      <x:c r="E45" t="str">
        <x:v>4x1 [multi_4x1]</x:v>
      </x:c>
      <x:c r="F45" t="str">
        <x:v>Yes</x:v>
      </x:c>
    </x:row>
    <x:row r="46">
      <x:c r="A46" t="str">
        <x:v>discount_type</x:v>
      </x:c>
      <x:c r="B46" t="str">
        <x:v>Tipo de Descuento</x:v>
      </x:c>
      <x:c r="C46" t="str">
        <x:v>fixed_l19</x:v>
      </x:c>
      <x:c r="D46" t="str">
        <x:v>L19 precio fijo</x:v>
      </x:c>
      <x:c r="E46" t="str">
        <x:v>L19 precio fijo [fixed_l19]</x:v>
      </x:c>
      <x:c r="F46" t="str">
        <x:v>Yes</x:v>
      </x:c>
    </x:row>
    <x:row r="47">
      <x:c r="A47" t="str">
        <x:v>discount_type</x:v>
      </x:c>
      <x:c r="B47" t="str">
        <x:v>Tipo de Descuento</x:v>
      </x:c>
      <x:c r="C47" t="str">
        <x:v>fixed_l25</x:v>
      </x:c>
      <x:c r="D47" t="str">
        <x:v>L25 precio fijo</x:v>
      </x:c>
      <x:c r="E47" t="str">
        <x:v>L25 precio fijo [fixed_l25]</x:v>
      </x:c>
      <x:c r="F47" t="str">
        <x:v>Yes</x:v>
      </x:c>
    </x:row>
    <x:row r="48">
      <x:c r="A48" t="str">
        <x:v>discount_type</x:v>
      </x:c>
      <x:c r="B48" t="str">
        <x:v>Tipo de Descuento</x:v>
      </x:c>
      <x:c r="C48" t="str">
        <x:v>fixed_l29</x:v>
      </x:c>
      <x:c r="D48" t="str">
        <x:v>L29 precio fijo</x:v>
      </x:c>
      <x:c r="E48" t="str">
        <x:v>L29 precio fijo [fixed_l29]</x:v>
      </x:c>
      <x:c r="F48" t="str">
        <x:v>Yes</x:v>
      </x:c>
    </x:row>
    <x:row r="49">
      <x:c r="A49" t="str">
        <x:v>discount_type</x:v>
      </x:c>
      <x:c r="B49" t="str">
        <x:v>Tipo de Descuento</x:v>
      </x:c>
      <x:c r="C49" t="str">
        <x:v>fixed_l39</x:v>
      </x:c>
      <x:c r="D49" t="str">
        <x:v>L39 precio fijo</x:v>
      </x:c>
      <x:c r="E49" t="str">
        <x:v>L39 precio fijo [fixed_l39]</x:v>
      </x:c>
      <x:c r="F49" t="str">
        <x:v>Yes</x:v>
      </x:c>
    </x:row>
    <x:row r="50">
      <x:c r="A50" t="str">
        <x:v>discount_type</x:v>
      </x:c>
      <x:c r="B50" t="str">
        <x:v>Tipo de Descuento</x:v>
      </x:c>
      <x:c r="C50" t="str">
        <x:v>fixed_l49</x:v>
      </x:c>
      <x:c r="D50" t="str">
        <x:v>L49 precio fijo</x:v>
      </x:c>
      <x:c r="E50" t="str">
        <x:v>L49 precio fijo [fixed_l49]</x:v>
      </x:c>
      <x:c r="F50" t="str">
        <x:v>Yes</x:v>
      </x:c>
    </x:row>
    <x:row r="51">
      <x:c r="A51" t="str">
        <x:v>discount_type</x:v>
      </x:c>
      <x:c r="B51" t="str">
        <x:v>Tipo de Descuento</x:v>
      </x:c>
      <x:c r="C51" t="str">
        <x:v>fixed_l59</x:v>
      </x:c>
      <x:c r="D51" t="str">
        <x:v>L59 precio fijo</x:v>
      </x:c>
      <x:c r="E51" t="str">
        <x:v>L59 precio fijo [fixed_l59]</x:v>
      </x:c>
      <x:c r="F51" t="str">
        <x:v>Yes</x:v>
      </x:c>
    </x:row>
    <x:row r="52">
      <x:c r="A52" t="str">
        <x:v>discount_type</x:v>
      </x:c>
      <x:c r="B52" t="str">
        <x:v>Tipo de Descuento</x:v>
      </x:c>
      <x:c r="C52" t="str">
        <x:v>fixed_l69</x:v>
      </x:c>
      <x:c r="D52" t="str">
        <x:v>L69 precio fijo</x:v>
      </x:c>
      <x:c r="E52" t="str">
        <x:v>L69 precio fijo [fixed_l69]</x:v>
      </x:c>
      <x:c r="F52" t="str">
        <x:v>Yes</x:v>
      </x:c>
    </x:row>
    <x:row r="53">
      <x:c r="A53" t="str">
        <x:v>discount_type</x:v>
      </x:c>
      <x:c r="B53" t="str">
        <x:v>Tipo de Descuento</x:v>
      </x:c>
      <x:c r="C53" t="str">
        <x:v>fixed_l79</x:v>
      </x:c>
      <x:c r="D53" t="str">
        <x:v>L79 precio fijo</x:v>
      </x:c>
      <x:c r="E53" t="str">
        <x:v>L79 precio fijo [fixed_l79]</x:v>
      </x:c>
      <x:c r="F53" t="str">
        <x:v>Yes</x:v>
      </x:c>
    </x:row>
    <x:row r="54">
      <x:c r="A54" t="str">
        <x:v>discount_type</x:v>
      </x:c>
      <x:c r="B54" t="str">
        <x:v>Tipo de Descuento</x:v>
      </x:c>
      <x:c r="C54" t="str">
        <x:v>fixed_l99</x:v>
      </x:c>
      <x:c r="D54" t="str">
        <x:v>L99 precio fijo</x:v>
      </x:c>
      <x:c r="E54" t="str">
        <x:v>L99 precio fijo [fixed_l99]</x:v>
      </x:c>
      <x:c r="F54" t="str">
        <x:v>Yes</x:v>
      </x:c>
    </x:row>
    <x:row r="55">
      <x:c r="A55" t="str">
        <x:v>discount_type</x:v>
      </x:c>
      <x:c r="B55" t="str">
        <x:v>Tipo de Descuento</x:v>
      </x:c>
      <x:c r="C55" t="str">
        <x:v>fixed_l199</x:v>
      </x:c>
      <x:c r="D55" t="str">
        <x:v>L199 precio fijo</x:v>
      </x:c>
      <x:c r="E55" t="str">
        <x:v>L199 precio fijo [fixed_l199]</x:v>
      </x:c>
      <x:c r="F55" t="str">
        <x:v>Yes</x:v>
      </x:c>
    </x:row>
    <x:row r="56">
      <x:c r="A56" t="str">
        <x:v>discount_type</x:v>
      </x:c>
      <x:c r="B56" t="str">
        <x:v>Tipo de Descuento</x:v>
      </x:c>
      <x:c r="C56" t="str">
        <x:v>fixed_l299</x:v>
      </x:c>
      <x:c r="D56" t="str">
        <x:v>L299 precio fijo</x:v>
      </x:c>
      <x:c r="E56" t="str">
        <x:v>L299 precio fijo [fixed_l299]</x:v>
      </x:c>
      <x:c r="F56" t="str">
        <x:v>Yes</x:v>
      </x:c>
    </x:row>
    <x:row r="57">
      <x:c r="A57" t="str">
        <x:v>discount_type</x:v>
      </x:c>
      <x:c r="B57" t="str">
        <x:v>Tipo de Descuento</x:v>
      </x:c>
      <x:c r="C57" t="str">
        <x:v>fixed_l399</x:v>
      </x:c>
      <x:c r="D57" t="str">
        <x:v>L399 precio fijo</x:v>
      </x:c>
      <x:c r="E57" t="str">
        <x:v>L399 precio fijo [fixed_l399]</x:v>
      </x:c>
      <x:c r="F57" t="str">
        <x:v>Yes</x:v>
      </x:c>
    </x:row>
    <x:row r="58">
      <x:c r="A58" t="str">
        <x:v>discount_type</x:v>
      </x:c>
      <x:c r="B58" t="str">
        <x:v>Tipo de Descuento</x:v>
      </x:c>
      <x:c r="C58" t="str">
        <x:v>fixed_l499</x:v>
      </x:c>
      <x:c r="D58" t="str">
        <x:v>L499 precio fijo</x:v>
      </x:c>
      <x:c r="E58" t="str">
        <x:v>L499 precio fijo [fixed_l499]</x:v>
      </x:c>
      <x:c r="F58" t="str">
        <x:v>Yes</x:v>
      </x:c>
    </x:row>
    <x:row r="59">
      <x:c r="A59" t="str">
        <x:v>discount_type</x:v>
      </x:c>
      <x:c r="B59" t="str">
        <x:v>Tipo de Descuento</x:v>
      </x:c>
      <x:c r="C59" t="str">
        <x:v>fixed_l599</x:v>
      </x:c>
      <x:c r="D59" t="str">
        <x:v>L599 precio fijo</x:v>
      </x:c>
      <x:c r="E59" t="str">
        <x:v>L599 precio fijo [fixed_l599]</x:v>
      </x:c>
      <x:c r="F59" t="str">
        <x:v>Yes</x:v>
      </x:c>
    </x:row>
    <x:row r="60">
      <x:c r="A60" t="str">
        <x:v>discount_type</x:v>
      </x:c>
      <x:c r="B60" t="str">
        <x:v>Tipo de Descuento</x:v>
      </x:c>
      <x:c r="C60" t="str">
        <x:v>fixed_l1999</x:v>
      </x:c>
      <x:c r="D60" t="str">
        <x:v>L1999 precio fijo</x:v>
      </x:c>
      <x:c r="E60" t="str">
        <x:v>L1999 precio fijo [fixed_l1999]</x:v>
      </x:c>
      <x:c r="F60" t="str">
        <x:v>Yes</x:v>
      </x:c>
    </x:row>
    <x:row r="61">
      <x:c r="A61" t="str">
        <x:v>color</x:v>
      </x:c>
      <x:c r="B61" t="str">
        <x:v>Color</x:v>
      </x:c>
      <x:c r="C61" t="str">
        <x:v>19</x:v>
      </x:c>
      <x:c r="D61" t="str">
        <x:v>Amarillo</x:v>
      </x:c>
      <x:c r="E61" t="str">
        <x:v>Amarillo [19]</x:v>
      </x:c>
      <x:c r="F61" t="str">
        <x:v>No</x:v>
      </x:c>
    </x:row>
    <x:row r="62">
      <x:c r="A62" t="str">
        <x:v>color</x:v>
      </x:c>
      <x:c r="B62" t="str">
        <x:v>Color</x:v>
      </x:c>
      <x:c r="C62" t="str">
        <x:v>11</x:v>
      </x:c>
      <x:c r="D62" t="str">
        <x:v>Azul</x:v>
      </x:c>
      <x:c r="E62" t="str">
        <x:v>Azul [11]</x:v>
      </x:c>
      <x:c r="F62" t="str">
        <x:v>No</x:v>
      </x:c>
    </x:row>
    <x:row r="63">
      <x:c r="A63" t="str">
        <x:v>color</x:v>
      </x:c>
      <x:c r="B63" t="str">
        <x:v>Color</x:v>
      </x:c>
      <x:c r="C63" t="str">
        <x:v>3</x:v>
      </x:c>
      <x:c r="D63" t="str">
        <x:v>Beige</x:v>
      </x:c>
      <x:c r="E63" t="str">
        <x:v>Beige [3]</x:v>
      </x:c>
      <x:c r="F63" t="str">
        <x:v>No</x:v>
      </x:c>
    </x:row>
    <x:row r="64">
      <x:c r="A64" t="str">
        <x:v>color</x:v>
      </x:c>
      <x:c r="B64" t="str">
        <x:v>Color</x:v>
      </x:c>
      <x:c r="C64" t="str">
        <x:v>crema</x:v>
      </x:c>
      <x:c r="D64" t="str">
        <x:v>Crema</x:v>
      </x:c>
      <x:c r="E64" t="str">
        <x:v>Crema [crema]</x:v>
      </x:c>
      <x:c r="F64" t="str">
        <x:v>No</x:v>
      </x:c>
    </x:row>
    <x:row r="65">
      <x:c r="A65" t="str">
        <x:v>color</x:v>
      </x:c>
      <x:c r="B65" t="str">
        <x:v>Color</x:v>
      </x:c>
      <x:c r="C65" t="str">
        <x:v>2</x:v>
      </x:c>
      <x:c r="D65" t="str">
        <x:v>Blanco</x:v>
      </x:c>
      <x:c r="E65" t="str">
        <x:v>Blanco [2]</x:v>
      </x:c>
      <x:c r="F65" t="str">
        <x:v>No</x:v>
      </x:c>
    </x:row>
    <x:row r="66">
      <x:c r="A66" t="str">
        <x:v>color</x:v>
      </x:c>
      <x:c r="B66" t="str">
        <x:v>Color</x:v>
      </x:c>
      <x:c r="C66" t="str">
        <x:v>9</x:v>
      </x:c>
      <x:c r="D66" t="str">
        <x:v>Bordo</x:v>
      </x:c>
      <x:c r="E66" t="str">
        <x:v>Bordo [9]</x:v>
      </x:c>
      <x:c r="F66" t="str">
        <x:v>No</x:v>
      </x:c>
    </x:row>
    <x:row r="67">
      <x:c r="A67" t="str">
        <x:v>color</x:v>
      </x:c>
      <x:c r="B67" t="str">
        <x:v>Color</x:v>
      </x:c>
      <x:c r="C67" t="str">
        <x:v>5</x:v>
      </x:c>
      <x:c r="D67" t="str">
        <x:v>Cafe</x:v>
      </x:c>
      <x:c r="E67" t="str">
        <x:v>Cafe [5]</x:v>
      </x:c>
      <x:c r="F67" t="str">
        <x:v>No</x:v>
      </x:c>
    </x:row>
    <x:row r="68">
      <x:c r="A68" t="str">
        <x:v>color</x:v>
      </x:c>
      <x:c r="B68" t="str">
        <x:v>Color</x:v>
      </x:c>
      <x:c r="C68" t="str">
        <x:v>6</x:v>
      </x:c>
      <x:c r="D68" t="str">
        <x:v>Camel</x:v>
      </x:c>
      <x:c r="E68" t="str">
        <x:v>Camel [6]</x:v>
      </x:c>
      <x:c r="F68" t="str">
        <x:v>No</x:v>
      </x:c>
    </x:row>
    <x:row r="69">
      <x:c r="A69" t="str">
        <x:v>color</x:v>
      </x:c>
      <x:c r="B69" t="str">
        <x:v>Color</x:v>
      </x:c>
      <x:c r="C69" t="str">
        <x:v>15</x:v>
      </x:c>
      <x:c r="D69" t="str">
        <x:v>Dorado</x:v>
      </x:c>
      <x:c r="E69" t="str">
        <x:v>Dorado [15]</x:v>
      </x:c>
      <x:c r="F69" t="str">
        <x:v>No</x:v>
      </x:c>
    </x:row>
    <x:row r="70">
      <x:c r="A70" t="str">
        <x:v>color</x:v>
      </x:c>
      <x:c r="B70" t="str">
        <x:v>Color</x:v>
      </x:c>
      <x:c r="C70" t="str">
        <x:v>chocolate</x:v>
      </x:c>
      <x:c r="D70" t="str">
        <x:v>Chocolate</x:v>
      </x:c>
      <x:c r="E70" t="str">
        <x:v>Chocolate [chocolate]</x:v>
      </x:c>
      <x:c r="F70" t="str">
        <x:v>No</x:v>
      </x:c>
    </x:row>
    <x:row r="71">
      <x:c r="A71" t="str">
        <x:v>color</x:v>
      </x:c>
      <x:c r="B71" t="str">
        <x:v>Color</x:v>
      </x:c>
      <x:c r="C71" t="str">
        <x:v>14</x:v>
      </x:c>
      <x:c r="D71" t="str">
        <x:v>Fucsia</x:v>
      </x:c>
      <x:c r="E71" t="str">
        <x:v>Fucsia [14]</x:v>
      </x:c>
      <x:c r="F71" t="str">
        <x:v>No</x:v>
      </x:c>
    </x:row>
    <x:row r="72">
      <x:c r="A72" t="str">
        <x:v>color</x:v>
      </x:c>
      <x:c r="B72" t="str">
        <x:v>Color</x:v>
      </x:c>
      <x:c r="C72" t="str">
        <x:v>18</x:v>
      </x:c>
      <x:c r="D72" t="str">
        <x:v>Gris</x:v>
      </x:c>
      <x:c r="E72" t="str">
        <x:v>Gris [18]</x:v>
      </x:c>
      <x:c r="F72" t="str">
        <x:v>No</x:v>
      </x:c>
    </x:row>
    <x:row r="73">
      <x:c r="A73" t="str">
        <x:v>color</x:v>
      </x:c>
      <x:c r="B73" t="str">
        <x:v>Color</x:v>
      </x:c>
      <x:c r="C73" t="str">
        <x:v>21</x:v>
      </x:c>
      <x:c r="D73" t="str">
        <x:v>Morado</x:v>
      </x:c>
      <x:c r="E73" t="str">
        <x:v>Morado [21]</x:v>
      </x:c>
      <x:c r="F73" t="str">
        <x:v>No</x:v>
      </x:c>
    </x:row>
    <x:row r="74">
      <x:c r="A74" t="str">
        <x:v>color</x:v>
      </x:c>
      <x:c r="B74" t="str">
        <x:v>Color</x:v>
      </x:c>
      <x:c r="C74" t="str">
        <x:v>22</x:v>
      </x:c>
      <x:c r="D74" t="str">
        <x:v>Multicolor</x:v>
      </x:c>
      <x:c r="E74" t="str">
        <x:v>Multicolor [22]</x:v>
      </x:c>
      <x:c r="F74" t="str">
        <x:v>No</x:v>
      </x:c>
    </x:row>
    <x:row r="75">
      <x:c r="A75" t="str">
        <x:v>color</x:v>
      </x:c>
      <x:c r="B75" t="str">
        <x:v>Color</x:v>
      </x:c>
      <x:c r="C75" t="str">
        <x:v>20</x:v>
      </x:c>
      <x:c r="D75" t="str">
        <x:v>Naranja</x:v>
      </x:c>
      <x:c r="E75" t="str">
        <x:v>Naranja [20]</x:v>
      </x:c>
      <x:c r="F75" t="str">
        <x:v>No</x:v>
      </x:c>
    </x:row>
    <x:row r="76">
      <x:c r="A76" t="str">
        <x:v>color</x:v>
      </x:c>
      <x:c r="B76" t="str">
        <x:v>Color</x:v>
      </x:c>
      <x:c r="C76" t="str">
        <x:v>10</x:v>
      </x:c>
      <x:c r="D76" t="str">
        <x:v>Navy</x:v>
      </x:c>
      <x:c r="E76" t="str">
        <x:v>Navy [10]</x:v>
      </x:c>
      <x:c r="F76" t="str">
        <x:v>No</x:v>
      </x:c>
    </x:row>
    <x:row r="77">
      <x:c r="A77" t="str">
        <x:v>color</x:v>
      </x:c>
      <x:c r="B77" t="str">
        <x:v>Color</x:v>
      </x:c>
      <x:c r="C77" t="str">
        <x:v>1</x:v>
      </x:c>
      <x:c r="D77" t="str">
        <x:v>Negro</x:v>
      </x:c>
      <x:c r="E77" t="str">
        <x:v>Negro [1]</x:v>
      </x:c>
      <x:c r="F77" t="str">
        <x:v>No</x:v>
      </x:c>
    </x:row>
    <x:row r="78">
      <x:c r="A78" t="str">
        <x:v>color</x:v>
      </x:c>
      <x:c r="B78" t="str">
        <x:v>Color</x:v>
      </x:c>
      <x:c r="C78" t="str">
        <x:v>coral</x:v>
      </x:c>
      <x:c r="D78" t="str">
        <x:v>Coral</x:v>
      </x:c>
      <x:c r="E78" t="str">
        <x:v>Coral [coral]</x:v>
      </x:c>
      <x:c r="F78" t="str">
        <x:v>No</x:v>
      </x:c>
    </x:row>
    <x:row r="79">
      <x:c r="A79" t="str">
        <x:v>color</x:v>
      </x:c>
      <x:c r="B79" t="str">
        <x:v>Color</x:v>
      </x:c>
      <x:c r="C79" t="str">
        <x:v>4</x:v>
      </x:c>
      <x:c r="D79" t="str">
        <x:v>Nude</x:v>
      </x:c>
      <x:c r="E79" t="str">
        <x:v>Nude [4]</x:v>
      </x:c>
      <x:c r="F79" t="str">
        <x:v>No</x:v>
      </x:c>
    </x:row>
    <x:row r="80">
      <x:c r="A80" t="str">
        <x:v>color</x:v>
      </x:c>
      <x:c r="B80" t="str">
        <x:v>Color</x:v>
      </x:c>
      <x:c r="C80" t="str">
        <x:v>16</x:v>
      </x:c>
      <x:c r="D80" t="str">
        <x:v>Plateado</x:v>
      </x:c>
      <x:c r="E80" t="str">
        <x:v>Plateado [16]</x:v>
      </x:c>
      <x:c r="F80" t="str">
        <x:v>No</x:v>
      </x:c>
    </x:row>
    <x:row r="81">
      <x:c r="A81" t="str">
        <x:v>color</x:v>
      </x:c>
      <x:c r="B81" t="str">
        <x:v>Color</x:v>
      </x:c>
      <x:c r="C81" t="str">
        <x:v>8</x:v>
      </x:c>
      <x:c r="D81" t="str">
        <x:v>Rojo</x:v>
      </x:c>
      <x:c r="E81" t="str">
        <x:v>Rojo [8]</x:v>
      </x:c>
      <x:c r="F81" t="str">
        <x:v>No</x:v>
      </x:c>
    </x:row>
    <x:row r="82">
      <x:c r="A82" t="str">
        <x:v>color</x:v>
      </x:c>
      <x:c r="B82" t="str">
        <x:v>Color</x:v>
      </x:c>
      <x:c r="C82" t="str">
        <x:v>13</x:v>
      </x:c>
      <x:c r="D82" t="str">
        <x:v>Rosa</x:v>
      </x:c>
      <x:c r="E82" t="str">
        <x:v>Rosa [13]</x:v>
      </x:c>
      <x:c r="F82" t="str">
        <x:v>No</x:v>
      </x:c>
    </x:row>
    <x:row r="83">
      <x:c r="A83" t="str">
        <x:v>color</x:v>
      </x:c>
      <x:c r="B83" t="str">
        <x:v>Color</x:v>
      </x:c>
      <x:c r="C83" t="str">
        <x:v>17</x:v>
      </x:c>
      <x:c r="D83" t="str">
        <x:v>Rose Gold</x:v>
      </x:c>
      <x:c r="E83" t="str">
        <x:v>Rose Gold [17]</x:v>
      </x:c>
      <x:c r="F83" t="str">
        <x:v>No</x:v>
      </x:c>
    </x:row>
    <x:row r="84">
      <x:c r="A84" t="str">
        <x:v>color</x:v>
      </x:c>
      <x:c r="B84" t="str">
        <x:v>Color</x:v>
      </x:c>
      <x:c r="C84" t="str">
        <x:v>verde_oliva</x:v>
      </x:c>
      <x:c r="D84" t="str">
        <x:v>Verde Oliva</x:v>
      </x:c>
      <x:c r="E84" t="str">
        <x:v>Verde Oliva [verde_oliva]</x:v>
      </x:c>
      <x:c r="F84" t="str">
        <x:v>No</x:v>
      </x:c>
    </x:row>
    <x:row r="85">
      <x:c r="A85" t="str">
        <x:v>color</x:v>
      </x:c>
      <x:c r="B85" t="str">
        <x:v>Color</x:v>
      </x:c>
      <x:c r="C85" t="str">
        <x:v>7</x:v>
      </x:c>
      <x:c r="D85" t="str">
        <x:v>Tan</x:v>
      </x:c>
      <x:c r="E85" t="str">
        <x:v>Tan [7]</x:v>
      </x:c>
      <x:c r="F85" t="str">
        <x:v>No</x:v>
      </x:c>
    </x:row>
    <x:row r="86">
      <x:c r="A86" t="str">
        <x:v>color</x:v>
      </x:c>
      <x:c r="B86" t="str">
        <x:v>Color</x:v>
      </x:c>
      <x:c r="C86" t="str">
        <x:v>12</x:v>
      </x:c>
      <x:c r="D86" t="str">
        <x:v>Verde</x:v>
      </x:c>
      <x:c r="E86" t="str">
        <x:v>Verde [12]</x:v>
      </x:c>
      <x:c r="F86" t="str">
        <x:v>No</x:v>
      </x:c>
    </x:row>
    <x:row r="87">
      <x:c r="A87" t="str">
        <x:v>color</x:v>
      </x:c>
      <x:c r="B87" t="str">
        <x:v>Color</x:v>
      </x:c>
      <x:c r="C87" t="str">
        <x:v>celeste</x:v>
      </x:c>
      <x:c r="D87" t="str">
        <x:v>Celeste</x:v>
      </x:c>
      <x:c r="E87" t="str">
        <x:v>Celeste [celeste]</x:v>
      </x:c>
      <x:c r="F87" t="str">
        <x:v>No</x:v>
      </x:c>
    </x:row>
    <x:row r="88">
      <x:c r="A88" t="str">
        <x:v>color</x:v>
      </x:c>
      <x:c r="B88" t="str">
        <x:v>Color</x:v>
      </x:c>
      <x:c r="C88" t="str">
        <x:v>turquesa</x:v>
      </x:c>
      <x:c r="D88" t="str">
        <x:v>Turquesa</x:v>
      </x:c>
      <x:c r="E88" t="str">
        <x:v>Turquesa [turquesa]</x:v>
      </x:c>
      <x:c r="F88" t="str">
        <x:v>No</x:v>
      </x:c>
    </x:row>
    <x:row r="89">
      <x:c r="A89" t="str">
        <x:v>color</x:v>
      </x:c>
      <x:c r="B89" t="str">
        <x:v>Color</x:v>
      </x:c>
      <x:c r="C89" t="str">
        <x:v>animal_print</x:v>
      </x:c>
      <x:c r="D89" t="str">
        <x:v>Animal Print</x:v>
      </x:c>
      <x:c r="E89" t="str">
        <x:v>Animal Print [animal_print]</x:v>
      </x:c>
      <x:c r="F89" t="str">
        <x:v>No</x:v>
      </x:c>
    </x:row>
    <x:row r="90">
      <x:c r="A90" t="str">
        <x:v>color</x:v>
      </x:c>
      <x:c r="B90" t="str">
        <x:v>Color</x:v>
      </x:c>
      <x:c r="C90" t="str">
        <x:v>transparente</x:v>
      </x:c>
      <x:c r="D90" t="str">
        <x:v>Transparente</x:v>
      </x:c>
      <x:c r="E90" t="str">
        <x:v>Transparente [transparente]</x:v>
      </x:c>
      <x:c r="F90" t="str">
        <x:v>No</x:v>
      </x:c>
    </x:row>
    <x:row r="91">
      <x:c r="A91" t="str">
        <x:v>color</x:v>
      </x:c>
      <x:c r="B91" t="str">
        <x:v>Color</x:v>
      </x:c>
      <x:c r="C91" t="str">
        <x:v>dbl</x:v>
      </x:c>
      <x:c r="D91" t="str">
        <x:v>Dark Blue/Azul Oscuro</x:v>
      </x:c>
      <x:c r="E91" t="str">
        <x:v>Dark Blue/Azul Oscuro [dbl]</x:v>
      </x:c>
      <x:c r="F91" t="str">
        <x:v>No</x:v>
      </x:c>
    </x:row>
    <x:row r="92">
      <x:c r="A92" t="str">
        <x:v>color</x:v>
      </x:c>
      <x:c r="B92" t="str">
        <x:v>Color</x:v>
      </x:c>
      <x:c r="C92" t="str">
        <x:v>lgy</x:v>
      </x:c>
      <x:c r="D92" t="str">
        <x:v>Light Gray/Gris Claro</x:v>
      </x:c>
      <x:c r="E92" t="str">
        <x:v>Light Gray/Gris Claro [lgy]</x:v>
      </x:c>
      <x:c r="F92" t="str">
        <x:v>No</x:v>
      </x:c>
    </x:row>
    <x:row r="93">
      <x:c r="A93" t="str">
        <x:v>color</x:v>
      </x:c>
      <x:c r="B93" t="str">
        <x:v>Color</x:v>
      </x:c>
      <x:c r="C93" t="str">
        <x:v>dgy</x:v>
      </x:c>
      <x:c r="D93" t="str">
        <x:v>Dark Gray/Gris Oscuro</x:v>
      </x:c>
      <x:c r="E93" t="str">
        <x:v>Dark Gray/Gris Oscuro [dgy]</x:v>
      </x:c>
      <x:c r="F93" t="str">
        <x:v>No</x:v>
      </x:c>
    </x:row>
    <x:row r="94">
      <x:c r="A94" t="str">
        <x:v>color</x:v>
      </x:c>
      <x:c r="B94" t="str">
        <x:v>Color</x:v>
      </x:c>
      <x:c r="C94" t="str">
        <x:v>khaki</x:v>
      </x:c>
      <x:c r="D94" t="str">
        <x:v>khaki</x:v>
      </x:c>
      <x:c r="E94" t="str">
        <x:v>khaki [khaki]</x:v>
      </x:c>
      <x:c r="F94" t="str">
        <x:v>No</x:v>
      </x:c>
    </x:row>
    <x:row r="95">
      <x:c r="A95" t="str">
        <x:v>color_family</x:v>
      </x:c>
      <x:c r="B95" t="str">
        <x:v>Familia de Color</x:v>
      </x:c>
      <x:c r="C95" t="str">
        <x:v>black</x:v>
      </x:c>
      <x:c r="D95" t="str">
        <x:v>black</x:v>
      </x:c>
      <x:c r="E95" t="str">
        <x:v>black [black]</x:v>
      </x:c>
      <x:c r="F95" t="str">
        <x:v>No</x:v>
      </x:c>
    </x:row>
    <x:row r="96">
      <x:c r="A96" t="str">
        <x:v>color_family</x:v>
      </x:c>
      <x:c r="B96" t="str">
        <x:v>Familia de Color</x:v>
      </x:c>
      <x:c r="C96" t="str">
        <x:v>neutral</x:v>
      </x:c>
      <x:c r="D96" t="str">
        <x:v>Neutros</x:v>
      </x:c>
      <x:c r="E96" t="str">
        <x:v>Neutros [neutral]</x:v>
      </x:c>
      <x:c r="F96" t="str">
        <x:v>No</x:v>
      </x:c>
    </x:row>
    <x:row r="97">
      <x:c r="A97" t="str">
        <x:v>color_family</x:v>
      </x:c>
      <x:c r="B97" t="str">
        <x:v>Familia de Color</x:v>
      </x:c>
      <x:c r="C97" t="str">
        <x:v>white</x:v>
      </x:c>
      <x:c r="D97" t="str">
        <x:v>white</x:v>
      </x:c>
      <x:c r="E97" t="str">
        <x:v>white [white]</x:v>
      </x:c>
      <x:c r="F97" t="str">
        <x:v>No</x:v>
      </x:c>
    </x:row>
    <x:row r="98">
      <x:c r="A98" t="str">
        <x:v>color_family</x:v>
      </x:c>
      <x:c r="B98" t="str">
        <x:v>Familia de Color</x:v>
      </x:c>
      <x:c r="C98" t="str">
        <x:v>metallic</x:v>
      </x:c>
      <x:c r="D98" t="str">
        <x:v>Metalicos</x:v>
      </x:c>
      <x:c r="E98" t="str">
        <x:v>Metalicos [metallic]</x:v>
      </x:c>
      <x:c r="F98" t="str">
        <x:v>No</x:v>
      </x:c>
    </x:row>
    <x:row r="99">
      <x:c r="A99" t="str">
        <x:v>color_family</x:v>
      </x:c>
      <x:c r="B99" t="str">
        <x:v>Familia de Color</x:v>
      </x:c>
      <x:c r="C99" t="str">
        <x:v>gray</x:v>
      </x:c>
      <x:c r="D99" t="str">
        <x:v>gray</x:v>
      </x:c>
      <x:c r="E99" t="str">
        <x:v>gray [gray]</x:v>
      </x:c>
      <x:c r="F99" t="str">
        <x:v>No</x:v>
      </x:c>
    </x:row>
    <x:row r="100">
      <x:c r="A100" t="str">
        <x:v>color_family</x:v>
      </x:c>
      <x:c r="B100" t="str">
        <x:v>Familia de Color</x:v>
      </x:c>
      <x:c r="C100" t="str">
        <x:v>red</x:v>
      </x:c>
      <x:c r="D100" t="str">
        <x:v>Rojos</x:v>
      </x:c>
      <x:c r="E100" t="str">
        <x:v>Rojos [red]</x:v>
      </x:c>
      <x:c r="F100" t="str">
        <x:v>No</x:v>
      </x:c>
    </x:row>
    <x:row r="101">
      <x:c r="A101" t="str">
        <x:v>color_family</x:v>
      </x:c>
      <x:c r="B101" t="str">
        <x:v>Familia de Color</x:v>
      </x:c>
      <x:c r="C101" t="str">
        <x:v>brown</x:v>
      </x:c>
      <x:c r="D101" t="str">
        <x:v>Marrones</x:v>
      </x:c>
      <x:c r="E101" t="str">
        <x:v>Marrones [brown]</x:v>
      </x:c>
      <x:c r="F101" t="str">
        <x:v>No</x:v>
      </x:c>
    </x:row>
    <x:row r="102">
      <x:c r="A102" t="str">
        <x:v>color_family</x:v>
      </x:c>
      <x:c r="B102" t="str">
        <x:v>Familia de Color</x:v>
      </x:c>
      <x:c r="C102" t="str">
        <x:v>orange</x:v>
      </x:c>
      <x:c r="D102" t="str">
        <x:v>orange</x:v>
      </x:c>
      <x:c r="E102" t="str">
        <x:v>orange [orange]</x:v>
      </x:c>
      <x:c r="F102" t="str">
        <x:v>No</x:v>
      </x:c>
    </x:row>
    <x:row r="103">
      <x:c r="A103" t="str">
        <x:v>color_family</x:v>
      </x:c>
      <x:c r="B103" t="str">
        <x:v>Familia de Color</x:v>
      </x:c>
      <x:c r="C103" t="str">
        <x:v>yellow</x:v>
      </x:c>
      <x:c r="D103" t="str">
        <x:v>yellow</x:v>
      </x:c>
      <x:c r="E103" t="str">
        <x:v>yellow [yellow]</x:v>
      </x:c>
      <x:c r="F103" t="str">
        <x:v>No</x:v>
      </x:c>
    </x:row>
    <x:row r="104">
      <x:c r="A104" t="str">
        <x:v>color_family</x:v>
      </x:c>
      <x:c r="B104" t="str">
        <x:v>Familia de Color</x:v>
      </x:c>
      <x:c r="C104" t="str">
        <x:v>purple</x:v>
      </x:c>
      <x:c r="D104" t="str">
        <x:v>purple</x:v>
      </x:c>
      <x:c r="E104" t="str">
        <x:v>purple [purple]</x:v>
      </x:c>
      <x:c r="F104" t="str">
        <x:v>No</x:v>
      </x:c>
    </x:row>
    <x:row r="105">
      <x:c r="A105" t="str">
        <x:v>color_family</x:v>
      </x:c>
      <x:c r="B105" t="str">
        <x:v>Familia de Color</x:v>
      </x:c>
      <x:c r="C105" t="str">
        <x:v>print</x:v>
      </x:c>
      <x:c r="D105" t="str">
        <x:v>print</x:v>
      </x:c>
      <x:c r="E105" t="str">
        <x:v>print [print]</x:v>
      </x:c>
      <x:c r="F105" t="str">
        <x:v>No</x:v>
      </x:c>
    </x:row>
    <x:row r="106">
      <x:c r="A106" t="str">
        <x:v>color_family</x:v>
      </x:c>
      <x:c r="B106" t="str">
        <x:v>Familia de Color</x:v>
      </x:c>
      <x:c r="C106" t="str">
        <x:v>pink</x:v>
      </x:c>
      <x:c r="D106" t="str">
        <x:v>Rosas</x:v>
      </x:c>
      <x:c r="E106" t="str">
        <x:v>Rosas [pink]</x:v>
      </x:c>
      <x:c r="F106" t="str">
        <x:v>No</x:v>
      </x:c>
    </x:row>
    <x:row r="107">
      <x:c r="A107" t="str">
        <x:v>color_family</x:v>
      </x:c>
      <x:c r="B107" t="str">
        <x:v>Familia de Color</x:v>
      </x:c>
      <x:c r="C107" t="str">
        <x:v>blue</x:v>
      </x:c>
      <x:c r="D107" t="str">
        <x:v>Azules</x:v>
      </x:c>
      <x:c r="E107" t="str">
        <x:v>Azules [blue]</x:v>
      </x:c>
      <x:c r="F107" t="str">
        <x:v>No</x:v>
      </x:c>
    </x:row>
    <x:row r="108">
      <x:c r="A108" t="str">
        <x:v>color_family</x:v>
      </x:c>
      <x:c r="B108" t="str">
        <x:v>Familia de Color</x:v>
      </x:c>
      <x:c r="C108" t="str">
        <x:v>transparent</x:v>
      </x:c>
      <x:c r="D108" t="str">
        <x:v>transparent</x:v>
      </x:c>
      <x:c r="E108" t="str">
        <x:v>transparent [transparent]</x:v>
      </x:c>
      <x:c r="F108" t="str">
        <x:v>No</x:v>
      </x:c>
    </x:row>
    <x:row r="109">
      <x:c r="A109" t="str">
        <x:v>color_family</x:v>
      </x:c>
      <x:c r="B109" t="str">
        <x:v>Familia de Color</x:v>
      </x:c>
      <x:c r="C109" t="str">
        <x:v>green</x:v>
      </x:c>
      <x:c r="D109" t="str">
        <x:v>Verdes</x:v>
      </x:c>
      <x:c r="E109" t="str">
        <x:v>Verdes [green]</x:v>
      </x:c>
      <x:c r="F109" t="str">
        <x:v>No</x:v>
      </x:c>
    </x:row>
    <x:row r="110">
      <x:c r="A110" t="str">
        <x:v>color_family</x:v>
      </x:c>
      <x:c r="B110" t="str">
        <x:v>Familia de Color</x:v>
      </x:c>
      <x:c r="C110" t="str">
        <x:v>multicolor</x:v>
      </x:c>
      <x:c r="D110" t="str">
        <x:v>Especiales</x:v>
      </x:c>
      <x:c r="E110" t="str">
        <x:v>Especiales [multicolor]</x:v>
      </x:c>
      <x:c r="F110" t="str">
        <x:v>No</x:v>
      </x:c>
    </x:row>
    <x:row r="111">
      <x:c r="A111" t="str">
        <x:v>shoe_type</x:v>
      </x:c>
      <x:c r="B111" t="str">
        <x:v>Tipo de Zapato</x:v>
      </x:c>
      <x:c r="C111" t="str">
        <x:v>3</x:v>
      </x:c>
      <x:c r="D111" t="str">
        <x:v>Bota</x:v>
      </x:c>
      <x:c r="E111" t="str">
        <x:v>Bota [3]</x:v>
      </x:c>
      <x:c r="F111" t="str">
        <x:v>No</x:v>
      </x:c>
    </x:row>
    <x:row r="112">
      <x:c r="A112" t="str">
        <x:v>shoe_type</x:v>
      </x:c>
      <x:c r="B112" t="str">
        <x:v>Tipo de Zapato</x:v>
      </x:c>
      <x:c r="C112" t="str">
        <x:v>12</x:v>
      </x:c>
      <x:c r="D112" t="str">
        <x:v>Bota Corta</x:v>
      </x:c>
      <x:c r="E112" t="str">
        <x:v>Bota Corta [12]</x:v>
      </x:c>
      <x:c r="F112" t="str">
        <x:v>No</x:v>
      </x:c>
    </x:row>
    <x:row r="113">
      <x:c r="A113" t="str">
        <x:v>shoe_type</x:v>
      </x:c>
      <x:c r="B113" t="str">
        <x:v>Tipo de Zapato</x:v>
      </x:c>
      <x:c r="C113" t="str">
        <x:v>13</x:v>
      </x:c>
      <x:c r="D113" t="str">
        <x:v>Chancla</x:v>
      </x:c>
      <x:c r="E113" t="str">
        <x:v>Chancla [13]</x:v>
      </x:c>
      <x:c r="F113" t="str">
        <x:v>No</x:v>
      </x:c>
    </x:row>
    <x:row r="114">
      <x:c r="A114" t="str">
        <x:v>shoe_type</x:v>
      </x:c>
      <x:c r="B114" t="str">
        <x:v>Tipo de Zapato</x:v>
      </x:c>
      <x:c r="C114" t="str">
        <x:v>15</x:v>
      </x:c>
      <x:c r="D114" t="str">
        <x:v>Derby</x:v>
      </x:c>
      <x:c r="E114" t="str">
        <x:v>Derby [15]</x:v>
      </x:c>
      <x:c r="F114" t="str">
        <x:v>No</x:v>
      </x:c>
    </x:row>
    <x:row r="115">
      <x:c r="A115" t="str">
        <x:v>shoe_type</x:v>
      </x:c>
      <x:c r="B115" t="str">
        <x:v>Tipo de Zapato</x:v>
      </x:c>
      <x:c r="C115" t="str">
        <x:v>10</x:v>
      </x:c>
      <x:c r="D115" t="str">
        <x:v>Espadrille</x:v>
      </x:c>
      <x:c r="E115" t="str">
        <x:v>Espadrille [10]</x:v>
      </x:c>
      <x:c r="F115" t="str">
        <x:v>No</x:v>
      </x:c>
    </x:row>
    <x:row r="116">
      <x:c r="A116" t="str">
        <x:v>shoe_type</x:v>
      </x:c>
      <x:c r="B116" t="str">
        <x:v>Tipo de Zapato</x:v>
      </x:c>
      <x:c r="C116" t="str">
        <x:v>5</x:v>
      </x:c>
      <x:c r="D116" t="str">
        <x:v>Flat</x:v>
      </x:c>
      <x:c r="E116" t="str">
        <x:v>Flat [5]</x:v>
      </x:c>
      <x:c r="F116" t="str">
        <x:v>No</x:v>
      </x:c>
    </x:row>
    <x:row r="117">
      <x:c r="A117" t="str">
        <x:v>shoe_type</x:v>
      </x:c>
      <x:c r="B117" t="str">
        <x:v>Tipo de Zapato</x:v>
      </x:c>
      <x:c r="C117" t="str">
        <x:v>8</x:v>
      </x:c>
      <x:c r="D117" t="str">
        <x:v>Loafer</x:v>
      </x:c>
      <x:c r="E117" t="str">
        <x:v>Loafer [8]</x:v>
      </x:c>
      <x:c r="F117" t="str">
        <x:v>No</x:v>
      </x:c>
    </x:row>
    <x:row r="118">
      <x:c r="A118" t="str">
        <x:v>shoe_type</x:v>
      </x:c>
      <x:c r="B118" t="str">
        <x:v>Tipo de Zapato</x:v>
      </x:c>
      <x:c r="C118" t="str">
        <x:v>11</x:v>
      </x:c>
      <x:c r="D118" t="str">
        <x:v>Mocasin</x:v>
      </x:c>
      <x:c r="E118" t="str">
        <x:v>Mocasin [11]</x:v>
      </x:c>
      <x:c r="F118" t="str">
        <x:v>No</x:v>
      </x:c>
    </x:row>
    <x:row r="119">
      <x:c r="A119" t="str">
        <x:v>shoe_type</x:v>
      </x:c>
      <x:c r="B119" t="str">
        <x:v>Tipo de Zapato</x:v>
      </x:c>
      <x:c r="C119" t="str">
        <x:v>6</x:v>
      </x:c>
      <x:c r="D119" t="str">
        <x:v>Mule</x:v>
      </x:c>
      <x:c r="E119" t="str">
        <x:v>Mule [6]</x:v>
      </x:c>
      <x:c r="F119" t="str">
        <x:v>No</x:v>
      </x:c>
    </x:row>
    <x:row r="120">
      <x:c r="A120" t="str">
        <x:v>shoe_type</x:v>
      </x:c>
      <x:c r="B120" t="str">
        <x:v>Tipo de Zapato</x:v>
      </x:c>
      <x:c r="C120" t="str">
        <x:v>7</x:v>
      </x:c>
      <x:c r="D120" t="str">
        <x:v>Oxford</x:v>
      </x:c>
      <x:c r="E120" t="str">
        <x:v>Oxford [7]</x:v>
      </x:c>
      <x:c r="F120" t="str">
        <x:v>No</x:v>
      </x:c>
    </x:row>
    <x:row r="121">
      <x:c r="A121" t="str">
        <x:v>shoe_type</x:v>
      </x:c>
      <x:c r="B121" t="str">
        <x:v>Tipo de Zapato</x:v>
      </x:c>
      <x:c r="C121" t="str">
        <x:v>14</x:v>
      </x:c>
      <x:c r="D121" t="str">
        <x:v>Plataforma</x:v>
      </x:c>
      <x:c r="E121" t="str">
        <x:v>Plataforma [14]</x:v>
      </x:c>
      <x:c r="F121" t="str">
        <x:v>No</x:v>
      </x:c>
    </x:row>
    <x:row r="122">
      <x:c r="A122" t="str">
        <x:v>shoe_type</x:v>
      </x:c>
      <x:c r="B122" t="str">
        <x:v>Tipo de Zapato</x:v>
      </x:c>
      <x:c r="C122" t="str">
        <x:v>1</x:v>
      </x:c>
      <x:c r="D122" t="str">
        <x:v>Pump</x:v>
      </x:c>
      <x:c r="E122" t="str">
        <x:v>Pump [1]</x:v>
      </x:c>
      <x:c r="F122" t="str">
        <x:v>No</x:v>
      </x:c>
    </x:row>
    <x:row r="123">
      <x:c r="A123" t="str">
        <x:v>shoe_type</x:v>
      </x:c>
      <x:c r="B123" t="str">
        <x:v>Tipo de Zapato</x:v>
      </x:c>
      <x:c r="C123" t="str">
        <x:v>2</x:v>
      </x:c>
      <x:c r="D123" t="str">
        <x:v>Sandalia</x:v>
      </x:c>
      <x:c r="E123" t="str">
        <x:v>Sandalia [2]</x:v>
      </x:c>
      <x:c r="F123" t="str">
        <x:v>No</x:v>
      </x:c>
    </x:row>
    <x:row r="124">
      <x:c r="A124" t="str">
        <x:v>shoe_type</x:v>
      </x:c>
      <x:c r="B124" t="str">
        <x:v>Tipo de Zapato</x:v>
      </x:c>
      <x:c r="C124" t="str">
        <x:v>4</x:v>
      </x:c>
      <x:c r="D124" t="str">
        <x:v>Sneaker</x:v>
      </x:c>
      <x:c r="E124" t="str">
        <x:v>Sneaker [4]</x:v>
      </x:c>
      <x:c r="F124" t="str">
        <x:v>No</x:v>
      </x:c>
    </x:row>
    <x:row r="125">
      <x:c r="A125" t="str">
        <x:v>shoe_type</x:v>
      </x:c>
      <x:c r="B125" t="str">
        <x:v>Tipo de Zapato</x:v>
      </x:c>
      <x:c r="C125" t="str">
        <x:v>9</x:v>
      </x:c>
      <x:c r="D125" t="str">
        <x:v>Wedge</x:v>
      </x:c>
      <x:c r="E125" t="str">
        <x:v>Wedge [9]</x:v>
      </x:c>
      <x:c r="F125" t="str">
        <x:v>No</x:v>
      </x:c>
    </x:row>
    <x:row r="126">
      <x:c r="A126" t="str">
        <x:v>upper_material</x:v>
      </x:c>
      <x:c r="B126" t="str">
        <x:v>Material Superior</x:v>
      </x:c>
      <x:c r="C126" t="str">
        <x:v>pu</x:v>
      </x:c>
      <x:c r="D126" t="str">
        <x:v>PU (Polyuretano)</x:v>
      </x:c>
      <x:c r="E126" t="str">
        <x:v>PU (Polyuretano) [pu]</x:v>
      </x:c>
      <x:c r="F126" t="str">
        <x:v>No</x:v>
      </x:c>
    </x:row>
    <x:row r="127">
      <x:c r="A127" t="str">
        <x:v>upper_material</x:v>
      </x:c>
      <x:c r="B127" t="str">
        <x:v>Material Superior</x:v>
      </x:c>
      <x:c r="C127" t="str">
        <x:v>pt</x:v>
      </x:c>
      <x:c r="D127" t="str">
        <x:v>Patent (Charol)</x:v>
      </x:c>
      <x:c r="E127" t="str">
        <x:v>Patent (Charol) [pt]</x:v>
      </x:c>
      <x:c r="F127" t="str">
        <x:v>No</x:v>
      </x:c>
    </x:row>
    <x:row r="128">
      <x:c r="A128" t="str">
        <x:v>upper_material</x:v>
      </x:c>
      <x:c r="B128" t="str">
        <x:v>Material Superior</x:v>
      </x:c>
      <x:c r="C128" t="str">
        <x:v>nu</x:v>
      </x:c>
      <x:c r="D128" t="str">
        <x:v>Nubuck</x:v>
      </x:c>
      <x:c r="E128" t="str">
        <x:v>Nubuck [nu]</x:v>
      </x:c>
      <x:c r="F128" t="str">
        <x:v>No</x:v>
      </x:c>
    </x:row>
    <x:row r="129">
      <x:c r="A129" t="str">
        <x:v>upper_material</x:v>
      </x:c>
      <x:c r="B129" t="str">
        <x:v>Material Superior</x:v>
      </x:c>
      <x:c r="C129" t="str">
        <x:v>sp</x:v>
      </x:c>
      <x:c r="D129" t="str">
        <x:v>Special Material</x:v>
      </x:c>
      <x:c r="E129" t="str">
        <x:v>Special Material [sp]</x:v>
      </x:c>
      <x:c r="F129" t="str">
        <x:v>No</x:v>
      </x:c>
    </x:row>
    <x:row r="130">
      <x:c r="A130" t="str">
        <x:v>upper_material</x:v>
      </x:c>
      <x:c r="B130" t="str">
        <x:v>Material Superior</x:v>
      </x:c>
      <x:c r="C130" t="str">
        <x:v>me</x:v>
      </x:c>
      <x:c r="D130" t="str">
        <x:v>Metalico</x:v>
      </x:c>
      <x:c r="E130" t="str">
        <x:v>Metalico [me]</x:v>
      </x:c>
      <x:c r="F130" t="str">
        <x:v>No</x:v>
      </x:c>
    </x:row>
    <x:row r="131">
      <x:c r="A131" t="str">
        <x:v>upper_material</x:v>
      </x:c>
      <x:c r="B131" t="str">
        <x:v>Material Superior</x:v>
      </x:c>
      <x:c r="C131" t="str">
        <x:v>su</x:v>
      </x:c>
      <x:c r="D131" t="str">
        <x:v>Suede</x:v>
      </x:c>
      <x:c r="E131" t="str">
        <x:v>Suede [su]</x:v>
      </x:c>
      <x:c r="F131" t="str">
        <x:v>No</x:v>
      </x:c>
    </x:row>
    <x:row r="132">
      <x:c r="A132" t="str">
        <x:v>upper_material</x:v>
      </x:c>
      <x:c r="B132" t="str">
        <x:v>Material Superior</x:v>
      </x:c>
      <x:c r="C132" t="str">
        <x:v>te</x:v>
      </x:c>
      <x:c r="D132" t="str">
        <x:v>Tela</x:v>
      </x:c>
      <x:c r="E132" t="str">
        <x:v>Tela [te]</x:v>
      </x:c>
      <x:c r="F132" t="str">
        <x:v>No</x:v>
      </x:c>
    </x:row>
    <x:row r="133">
      <x:c r="A133" t="str">
        <x:v>upper_material</x:v>
      </x:c>
      <x:c r="B133" t="str">
        <x:v>Material Superior</x:v>
      </x:c>
      <x:c r="C133" t="str">
        <x:v>lt</x:v>
      </x:c>
      <x:c r="D133" t="str">
        <x:v>Leather (Cuero)</x:v>
      </x:c>
      <x:c r="E133" t="str">
        <x:v>Leather (Cuero) [lt]</x:v>
      </x:c>
      <x:c r="F133" t="str">
        <x:v>No</x:v>
      </x:c>
    </x:row>
    <x:row r="134">
      <x:c r="A134" t="str">
        <x:v>upper_material</x:v>
      </x:c>
      <x:c r="B134" t="str">
        <x:v>Material Superior</x:v>
      </x:c>
      <x:c r="C134" t="str">
        <x:v>sa</x:v>
      </x:c>
      <x:c r="D134" t="str">
        <x:v>Satin</x:v>
      </x:c>
      <x:c r="E134" t="str">
        <x:v>Satin [sa]</x:v>
      </x:c>
      <x:c r="F134" t="str">
        <x:v>No</x:v>
      </x:c>
    </x:row>
    <x:row r="135">
      <x:c r="A135" t="str">
        <x:v>upper_material</x:v>
      </x:c>
      <x:c r="B135" t="str">
        <x:v>Material Superior</x:v>
      </x:c>
      <x:c r="C135" t="str">
        <x:v>cb</x:v>
      </x:c>
      <x:c r="D135" t="str">
        <x:v>Black/Combinado</x:v>
      </x:c>
      <x:c r="E135" t="str">
        <x:v>Black/Combinado [cb]</x:v>
      </x:c>
      <x:c r="F135" t="str">
        <x:v>No</x:v>
      </x:c>
    </x:row>
    <x:row r="136">
      <x:c r="A136" t="str">
        <x:v>upper_material</x:v>
      </x:c>
      <x:c r="B136" t="str">
        <x:v>Material Superior</x:v>
      </x:c>
      <x:c r="C136" t="str">
        <x:v>cr</x:v>
      </x:c>
      <x:c r="D136" t="str">
        <x:v>Crochet/Tejido</x:v>
      </x:c>
      <x:c r="E136" t="str">
        <x:v>Crochet/Tejido [cr]</x:v>
      </x:c>
      <x:c r="F136" t="str">
        <x:v>No</x:v>
      </x:c>
    </x:row>
    <x:row r="137">
      <x:c r="A137" t="str">
        <x:v>upper_material</x:v>
      </x:c>
      <x:c r="B137" t="str">
        <x:v>Material Superior</x:v>
      </x:c>
      <x:c r="C137" t="str">
        <x:v>gl</x:v>
      </x:c>
      <x:c r="D137" t="str">
        <x:v>Gliter</x:v>
      </x:c>
      <x:c r="E137" t="str">
        <x:v>Gliter [gl]</x:v>
      </x:c>
      <x:c r="F137" t="str">
        <x:v>No</x:v>
      </x:c>
    </x:row>
    <x:row r="138">
      <x:c r="A138" t="str">
        <x:v>upper_material</x:v>
      </x:c>
      <x:c r="B138" t="str">
        <x:v>Material Superior</x:v>
      </x:c>
      <x:c r="C138" t="str">
        <x:v>pv</x:v>
      </x:c>
      <x:c r="D138" t="str">
        <x:v>PVC/Vinilo</x:v>
      </x:c>
      <x:c r="E138" t="str">
        <x:v>PVC/Vinilo [pv]</x:v>
      </x:c>
      <x:c r="F138" t="str">
        <x:v>No</x:v>
      </x:c>
    </x:row>
    <x:row r="139">
      <x:c r="A139" t="str">
        <x:v>upper_material</x:v>
      </x:c>
      <x:c r="B139" t="str">
        <x:v>Material Superior</x:v>
      </x:c>
      <x:c r="C139" t="str">
        <x:v>fb</x:v>
      </x:c>
      <x:c r="D139" t="str">
        <x:v>Fabric</x:v>
      </x:c>
      <x:c r="E139" t="str">
        <x:v>Fabric [fb]</x:v>
      </x:c>
      <x:c r="F139" t="str">
        <x:v>No</x:v>
      </x:c>
    </x:row>
    <x:row r="140">
      <x:c r="A140" t="str">
        <x:v>upper_material</x:v>
      </x:c>
      <x:c r="B140" t="str">
        <x:v>Material Superior</x:v>
      </x:c>
      <x:c r="C140" t="str">
        <x:v>tx</x:v>
      </x:c>
      <x:c r="D140" t="str">
        <x:v>Textil</x:v>
      </x:c>
      <x:c r="E140" t="str">
        <x:v>Textil [tx]</x:v>
      </x:c>
      <x:c r="F140" t="str">
        <x:v>No</x:v>
      </x:c>
    </x:row>
    <x:row r="141">
      <x:c r="A141" t="str">
        <x:v>upper_material</x:v>
      </x:c>
      <x:c r="B141" t="str">
        <x:v>Material Superior</x:v>
      </x:c>
      <x:c r="C141" t="str">
        <x:v>ms</x:v>
      </x:c>
      <x:c r="D141" t="str">
        <x:v>Mesh</x:v>
      </x:c>
      <x:c r="E141" t="str">
        <x:v>Mesh [ms]</x:v>
      </x:c>
      <x:c r="F141" t="str">
        <x:v>No</x:v>
      </x:c>
    </x:row>
    <x:row r="142">
      <x:c r="A142" t="str">
        <x:v>upper_material</x:v>
      </x:c>
      <x:c r="B142" t="str">
        <x:v>Material Superior</x:v>
      </x:c>
      <x:c r="C142" t="str">
        <x:v>pl</x:v>
      </x:c>
      <x:c r="D142" t="str">
        <x:v>Plastico</x:v>
      </x:c>
      <x:c r="E142" t="str">
        <x:v>Plastico [pl]</x:v>
      </x:c>
      <x:c r="F142" t="str">
        <x:v>No</x:v>
      </x:c>
    </x:row>
    <x:row r="143">
      <x:c r="A143" t="str">
        <x:v>upper_material</x:v>
      </x:c>
      <x:c r="B143" t="str">
        <x:v>Material Superior</x:v>
      </x:c>
      <x:c r="C143" t="str">
        <x:v>dn</x:v>
      </x:c>
      <x:c r="D143" t="str">
        <x:v>Denim</x:v>
      </x:c>
      <x:c r="E143" t="str">
        <x:v>Denim [dn]</x:v>
      </x:c>
      <x:c r="F143" t="str">
        <x:v>No</x:v>
      </x:c>
    </x:row>
    <x:row r="144">
      <x:c r="A144" t="str">
        <x:v>outsole_material</x:v>
      </x:c>
      <x:c r="B144" t="str">
        <x:v>Material de Suela</x:v>
      </x:c>
      <x:c r="C144" t="str">
        <x:v>4</x:v>
      </x:c>
      <x:c r="D144" t="str">
        <x:v>Cuero</x:v>
      </x:c>
      <x:c r="E144" t="str">
        <x:v>Cuero [4]</x:v>
      </x:c>
      <x:c r="F144" t="str">
        <x:v>No</x:v>
      </x:c>
    </x:row>
    <x:row r="145">
      <x:c r="A145" t="str">
        <x:v>outsole_material</x:v>
      </x:c>
      <x:c r="B145" t="str">
        <x:v>Material de Suela</x:v>
      </x:c>
      <x:c r="C145" t="str">
        <x:v>6</x:v>
      </x:c>
      <x:c r="D145" t="str">
        <x:v>EVA</x:v>
      </x:c>
      <x:c r="E145" t="str">
        <x:v>EVA [6]</x:v>
      </x:c>
      <x:c r="F145" t="str">
        <x:v>No</x:v>
      </x:c>
    </x:row>
    <x:row r="146">
      <x:c r="A146" t="str">
        <x:v>outsole_material</x:v>
      </x:c>
      <x:c r="B146" t="str">
        <x:v>Material de Suela</x:v>
      </x:c>
      <x:c r="C146" t="str">
        <x:v>1</x:v>
      </x:c>
      <x:c r="D146" t="str">
        <x:v>Goma</x:v>
      </x:c>
      <x:c r="E146" t="str">
        <x:v>Goma [1]</x:v>
      </x:c>
      <x:c r="F146" t="str">
        <x:v>No</x:v>
      </x:c>
    </x:row>
    <x:row r="147">
      <x:c r="A147" t="str">
        <x:v>outsole_material</x:v>
      </x:c>
      <x:c r="B147" t="str">
        <x:v>Material de Suela</x:v>
      </x:c>
      <x:c r="C147" t="str">
        <x:v>3</x:v>
      </x:c>
      <x:c r="D147" t="str">
        <x:v>PU</x:v>
      </x:c>
      <x:c r="E147" t="str">
        <x:v>PU [3]</x:v>
      </x:c>
      <x:c r="F147" t="str">
        <x:v>No</x:v>
      </x:c>
    </x:row>
    <x:row r="148">
      <x:c r="A148" t="str">
        <x:v>outsole_material</x:v>
      </x:c>
      <x:c r="B148" t="str">
        <x:v>Material de Suela</x:v>
      </x:c>
      <x:c r="C148" t="str">
        <x:v>5</x:v>
      </x:c>
      <x:c r="D148" t="str">
        <x:v>Sintetico</x:v>
      </x:c>
      <x:c r="E148" t="str">
        <x:v>Sintetico [5]</x:v>
      </x:c>
      <x:c r="F148" t="str">
        <x:v>No</x:v>
      </x:c>
    </x:row>
    <x:row r="149">
      <x:c r="A149" t="str">
        <x:v>outsole_material</x:v>
      </x:c>
      <x:c r="B149" t="str">
        <x:v>Material de Suela</x:v>
      </x:c>
      <x:c r="C149" t="str">
        <x:v>2</x:v>
      </x:c>
      <x:c r="D149" t="str">
        <x:v>TPR</x:v>
      </x:c>
      <x:c r="E149" t="str">
        <x:v>TPR [2]</x:v>
      </x:c>
      <x:c r="F149" t="str">
        <x:v>No</x:v>
      </x:c>
    </x:row>
    <x:row r="150">
      <x:c r="A150" t="str">
        <x:v>outsole_material</x:v>
      </x:c>
      <x:c r="B150" t="str">
        <x:v>Material de Suela</x:v>
      </x:c>
      <x:c r="C150" t="str">
        <x:v>7</x:v>
      </x:c>
      <x:c r="D150" t="str">
        <x:v>Madera</x:v>
      </x:c>
      <x:c r="E150" t="str">
        <x:v>Madera [7]</x:v>
      </x:c>
      <x:c r="F150" t="str">
        <x:v>No</x:v>
      </x:c>
    </x:row>
    <x:row r="151">
      <x:c r="A151" t="str">
        <x:v>heel_height</x:v>
      </x:c>
      <x:c r="B151" t="str">
        <x:v>Altura del Tacón</x:v>
      </x:c>
      <x:c r="C151" t="str">
        <x:v>6</x:v>
      </x:c>
      <x:c r="D151" t="str">
        <x:v>Muy Alto (4+ in)</x:v>
      </x:c>
      <x:c r="E151" t="str">
        <x:v>Muy Alto (4+ in) [6]</x:v>
      </x:c>
      <x:c r="F151" t="str">
        <x:v>No</x:v>
      </x:c>
    </x:row>
    <x:row r="152">
      <x:c r="A152" t="str">
        <x:v>heel_height</x:v>
      </x:c>
      <x:c r="B152" t="str">
        <x:v>Altura del Tacón</x:v>
      </x:c>
      <x:c r="C152" t="str">
        <x:v>2</x:v>
      </x:c>
      <x:c r="D152" t="str">
        <x:v>Plano (0-1 in)</x:v>
      </x:c>
      <x:c r="E152" t="str">
        <x:v>Plano (0-1 in) [2]</x:v>
      </x:c>
      <x:c r="F152" t="str">
        <x:v>No</x:v>
      </x:c>
    </x:row>
    <x:row r="153">
      <x:c r="A153" t="str">
        <x:v>heel_height</x:v>
      </x:c>
      <x:c r="B153" t="str">
        <x:v>Altura del Tacón</x:v>
      </x:c>
      <x:c r="C153" t="str">
        <x:v>1</x:v>
      </x:c>
      <x:c r="D153" t="str">
        <x:v>Sin Tacon / Deportivo (0 in)</x:v>
      </x:c>
      <x:c r="E153" t="str">
        <x:v>Sin Tacon / Deportivo (0 in) [1]</x:v>
      </x:c>
      <x:c r="F153" t="str">
        <x:v>No</x:v>
      </x:c>
    </x:row>
    <x:row r="154">
      <x:c r="A154" t="str">
        <x:v>heel_height</x:v>
      </x:c>
      <x:c r="B154" t="str">
        <x:v>Altura del Tacón</x:v>
      </x:c>
      <x:c r="C154" t="str">
        <x:v>5</x:v>
      </x:c>
      <x:c r="D154" t="str">
        <x:v>Tacon Alto (3-4 in)</x:v>
      </x:c>
      <x:c r="E154" t="str">
        <x:v>Tacon Alto (3-4 in) [5]</x:v>
      </x:c>
      <x:c r="F154" t="str">
        <x:v>No</x:v>
      </x:c>
    </x:row>
    <x:row r="155">
      <x:c r="A155" t="str">
        <x:v>heel_height</x:v>
      </x:c>
      <x:c r="B155" t="str">
        <x:v>Altura del Tacón</x:v>
      </x:c>
      <x:c r="C155" t="str">
        <x:v>3</x:v>
      </x:c>
      <x:c r="D155" t="str">
        <x:v>Tacon Bajo (1-2 in)</x:v>
      </x:c>
      <x:c r="E155" t="str">
        <x:v>Tacon Bajo (1-2 in) [3]</x:v>
      </x:c>
      <x:c r="F155" t="str">
        <x:v>No</x:v>
      </x:c>
    </x:row>
    <x:row r="156">
      <x:c r="A156" t="str">
        <x:v>heel_height</x:v>
      </x:c>
      <x:c r="B156" t="str">
        <x:v>Altura del Tacón</x:v>
      </x:c>
      <x:c r="C156" t="str">
        <x:v>4</x:v>
      </x:c>
      <x:c r="D156" t="str">
        <x:v>Tacon Medio (2-3 in)</x:v>
      </x:c>
      <x:c r="E156" t="str">
        <x:v>Tacon Medio (2-3 in) [4]</x:v>
      </x:c>
      <x:c r="F156" t="str">
        <x:v>No</x:v>
      </x:c>
    </x:row>
    <x:row r="157">
      <x:c r="A157" t="str">
        <x:v>heel_shape</x:v>
      </x:c>
      <x:c r="B157" t="str">
        <x:v>Forma del Tacón</x:v>
      </x:c>
      <x:c r="C157" t="str">
        <x:v>2</x:v>
      </x:c>
      <x:c r="D157" t="str">
        <x:v>Chunky/Block</x:v>
      </x:c>
      <x:c r="E157" t="str">
        <x:v>Chunky/Block [2]</x:v>
      </x:c>
      <x:c r="F157" t="str">
        <x:v>No</x:v>
      </x:c>
    </x:row>
    <x:row r="158">
      <x:c r="A158" t="str">
        <x:v>heel_shape</x:v>
      </x:c>
      <x:c r="B158" t="str">
        <x:v>Forma del Tacón</x:v>
      </x:c>
      <x:c r="C158" t="str">
        <x:v>5</x:v>
      </x:c>
      <x:c r="D158" t="str">
        <x:v>Cone</x:v>
      </x:c>
      <x:c r="E158" t="str">
        <x:v>Cone [5]</x:v>
      </x:c>
      <x:c r="F158" t="str">
        <x:v>No</x:v>
      </x:c>
    </x:row>
    <x:row r="159">
      <x:c r="A159" t="str">
        <x:v>heel_shape</x:v>
      </x:c>
      <x:c r="B159" t="str">
        <x:v>Forma del Tacón</x:v>
      </x:c>
      <x:c r="C159" t="str">
        <x:v>9</x:v>
      </x:c>
      <x:c r="D159" t="str">
        <x:v>Flat/None</x:v>
      </x:c>
      <x:c r="E159" t="str">
        <x:v>Flat/None [9]</x:v>
      </x:c>
      <x:c r="F159" t="str">
        <x:v>No</x:v>
      </x:c>
    </x:row>
    <x:row r="160">
      <x:c r="A160" t="str">
        <x:v>heel_shape</x:v>
      </x:c>
      <x:c r="B160" t="str">
        <x:v>Forma del Tacón</x:v>
      </x:c>
      <x:c r="C160" t="str">
        <x:v>4</x:v>
      </x:c>
      <x:c r="D160" t="str">
        <x:v>Kitten</x:v>
      </x:c>
      <x:c r="E160" t="str">
        <x:v>Kitten [4]</x:v>
      </x:c>
      <x:c r="F160" t="str">
        <x:v>No</x:v>
      </x:c>
    </x:row>
    <x:row r="161">
      <x:c r="A161" t="str">
        <x:v>heel_shape</x:v>
      </x:c>
      <x:c r="B161" t="str">
        <x:v>Forma del Tacón</x:v>
      </x:c>
      <x:c r="C161" t="str">
        <x:v>8</x:v>
      </x:c>
      <x:c r="D161" t="str">
        <x:v>Platform</x:v>
      </x:c>
      <x:c r="E161" t="str">
        <x:v>Platform [8]</x:v>
      </x:c>
      <x:c r="F161" t="str">
        <x:v>No</x:v>
      </x:c>
    </x:row>
    <x:row r="162">
      <x:c r="A162" t="str">
        <x:v>heel_shape</x:v>
      </x:c>
      <x:c r="B162" t="str">
        <x:v>Forma del Tacón</x:v>
      </x:c>
      <x:c r="C162" t="str">
        <x:v>6</x:v>
      </x:c>
      <x:c r="D162" t="str">
        <x:v>Spool</x:v>
      </x:c>
      <x:c r="E162" t="str">
        <x:v>Spool [6]</x:v>
      </x:c>
      <x:c r="F162" t="str">
        <x:v>No</x:v>
      </x:c>
    </x:row>
    <x:row r="163">
      <x:c r="A163" t="str">
        <x:v>heel_shape</x:v>
      </x:c>
      <x:c r="B163" t="str">
        <x:v>Forma del Tacón</x:v>
      </x:c>
      <x:c r="C163" t="str">
        <x:v>7</x:v>
      </x:c>
      <x:c r="D163" t="str">
        <x:v>Stacked</x:v>
      </x:c>
      <x:c r="E163" t="str">
        <x:v>Stacked [7]</x:v>
      </x:c>
      <x:c r="F163" t="str">
        <x:v>No</x:v>
      </x:c>
    </x:row>
    <x:row r="164">
      <x:c r="A164" t="str">
        <x:v>heel_shape</x:v>
      </x:c>
      <x:c r="B164" t="str">
        <x:v>Forma del Tacón</x:v>
      </x:c>
      <x:c r="C164" t="str">
        <x:v>1</x:v>
      </x:c>
      <x:c r="D164" t="str">
        <x:v>Stiletto</x:v>
      </x:c>
      <x:c r="E164" t="str">
        <x:v>Stiletto [1]</x:v>
      </x:c>
      <x:c r="F164" t="str">
        <x:v>No</x:v>
      </x:c>
    </x:row>
    <x:row r="165">
      <x:c r="A165" t="str">
        <x:v>heel_shape</x:v>
      </x:c>
      <x:c r="B165" t="str">
        <x:v>Forma del Tacón</x:v>
      </x:c>
      <x:c r="C165" t="str">
        <x:v>3</x:v>
      </x:c>
      <x:c r="D165" t="str">
        <x:v>Wedge</x:v>
      </x:c>
      <x:c r="E165" t="str">
        <x:v>Wedge [3]</x:v>
      </x:c>
      <x:c r="F165" t="str">
        <x:v>No</x:v>
      </x:c>
    </x:row>
    <x:row r="166">
      <x:c r="A166" t="str">
        <x:v>heel_shape</x:v>
      </x:c>
      <x:c r="B166" t="str">
        <x:v>Forma del Tacón</x:v>
      </x:c>
      <x:c r="C166" t="str">
        <x:v>gruesa_plana</x:v>
      </x:c>
      <x:c r="D166" t="str">
        <x:v>Gruesa Plana</x:v>
      </x:c>
      <x:c r="E166" t="str">
        <x:v>Gruesa Plana [gruesa_plana]</x:v>
      </x:c>
      <x:c r="F166" t="str">
        <x:v>No</x:v>
      </x:c>
    </x:row>
    <x:row r="167">
      <x:c r="A167" t="str">
        <x:v>heel_material</x:v>
      </x:c>
      <x:c r="B167" t="str">
        <x:v>Material del Tacón</x:v>
      </x:c>
      <x:c r="C167" t="str">
        <x:v>4</x:v>
      </x:c>
      <x:c r="D167" t="str">
        <x:v>Ballena</x:v>
      </x:c>
      <x:c r="E167" t="str">
        <x:v>Ballena [4]</x:v>
      </x:c>
      <x:c r="F167" t="str">
        <x:v>No</x:v>
      </x:c>
    </x:row>
    <x:row r="168">
      <x:c r="A168" t="str">
        <x:v>heel_material</x:v>
      </x:c>
      <x:c r="B168" t="str">
        <x:v>Material del Tacón</x:v>
      </x:c>
      <x:c r="C168" t="str">
        <x:v>6</x:v>
      </x:c>
      <x:c r="D168" t="str">
        <x:v>Espartillo</x:v>
      </x:c>
      <x:c r="E168" t="str">
        <x:v>Espartillo [6]</x:v>
      </x:c>
      <x:c r="F168" t="str">
        <x:v>No</x:v>
      </x:c>
    </x:row>
    <x:row r="169">
      <x:c r="A169" t="str">
        <x:v>heel_material</x:v>
      </x:c>
      <x:c r="B169" t="str">
        <x:v>Material del Tacón</x:v>
      </x:c>
      <x:c r="C169" t="str">
        <x:v>2</x:v>
      </x:c>
      <x:c r="D169" t="str">
        <x:v>Forrado</x:v>
      </x:c>
      <x:c r="E169" t="str">
        <x:v>Forrado [2]</x:v>
      </x:c>
      <x:c r="F169" t="str">
        <x:v>No</x:v>
      </x:c>
    </x:row>
    <x:row r="170">
      <x:c r="A170" t="str">
        <x:v>heel_material</x:v>
      </x:c>
      <x:c r="B170" t="str">
        <x:v>Material del Tacón</x:v>
      </x:c>
      <x:c r="C170" t="str">
        <x:v>5</x:v>
      </x:c>
      <x:c r="D170" t="str">
        <x:v>Goma</x:v>
      </x:c>
      <x:c r="E170" t="str">
        <x:v>Goma [5]</x:v>
      </x:c>
      <x:c r="F170" t="str">
        <x:v>No</x:v>
      </x:c>
    </x:row>
    <x:row r="171">
      <x:c r="A171" t="str">
        <x:v>heel_material</x:v>
      </x:c>
      <x:c r="B171" t="str">
        <x:v>Material del Tacón</x:v>
      </x:c>
      <x:c r="C171" t="str">
        <x:v>3</x:v>
      </x:c>
      <x:c r="D171" t="str">
        <x:v>Hule</x:v>
      </x:c>
      <x:c r="E171" t="str">
        <x:v>Hule [3]</x:v>
      </x:c>
      <x:c r="F171" t="str">
        <x:v>No</x:v>
      </x:c>
    </x:row>
    <x:row r="172">
      <x:c r="A172" t="str">
        <x:v>heel_material</x:v>
      </x:c>
      <x:c r="B172" t="str">
        <x:v>Material del Tacón</x:v>
      </x:c>
      <x:c r="C172" t="str">
        <x:v>1</x:v>
      </x:c>
      <x:c r="D172" t="str">
        <x:v>Plastico</x:v>
      </x:c>
      <x:c r="E172" t="str">
        <x:v>Plastico [1]</x:v>
      </x:c>
      <x:c r="F172" t="str">
        <x:v>No</x:v>
      </x:c>
    </x:row>
    <x:row r="173">
      <x:c r="A173" t="str">
        <x:v>toe_shape</x:v>
      </x:c>
      <x:c r="B173" t="str">
        <x:v>Forma de la Punta</x:v>
      </x:c>
      <x:c r="C173" t="str">
        <x:v>5</x:v>
      </x:c>
      <x:c r="D173" t="str">
        <x:v>Abierta</x:v>
      </x:c>
      <x:c r="E173" t="str">
        <x:v>Abierta [5]</x:v>
      </x:c>
      <x:c r="F173" t="str">
        <x:v>No</x:v>
      </x:c>
    </x:row>
    <x:row r="174">
      <x:c r="A174" t="str">
        <x:v>toe_shape</x:v>
      </x:c>
      <x:c r="B174" t="str">
        <x:v>Forma de la Punta</x:v>
      </x:c>
      <x:c r="C174" t="str">
        <x:v>2</x:v>
      </x:c>
      <x:c r="D174" t="str">
        <x:v>Almendra</x:v>
      </x:c>
      <x:c r="E174" t="str">
        <x:v>Almendra [2]</x:v>
      </x:c>
      <x:c r="F174" t="str">
        <x:v>No</x:v>
      </x:c>
    </x:row>
    <x:row r="175">
      <x:c r="A175" t="str">
        <x:v>toe_shape</x:v>
      </x:c>
      <x:c r="B175" t="str">
        <x:v>Forma de la Punta</x:v>
      </x:c>
      <x:c r="C175" t="str">
        <x:v>3</x:v>
      </x:c>
      <x:c r="D175" t="str">
        <x:v>Cuadrada</x:v>
      </x:c>
      <x:c r="E175" t="str">
        <x:v>Cuadrada [3]</x:v>
      </x:c>
      <x:c r="F175" t="str">
        <x:v>No</x:v>
      </x:c>
    </x:row>
    <x:row r="176">
      <x:c r="A176" t="str">
        <x:v>toe_shape</x:v>
      </x:c>
      <x:c r="B176" t="str">
        <x:v>Forma de la Punta</x:v>
      </x:c>
      <x:c r="C176" t="str">
        <x:v>6</x:v>
      </x:c>
      <x:c r="D176" t="str">
        <x:v>Peep Toe</x:v>
      </x:c>
      <x:c r="E176" t="str">
        <x:v>Peep Toe [6]</x:v>
      </x:c>
      <x:c r="F176" t="str">
        <x:v>No</x:v>
      </x:c>
    </x:row>
    <x:row r="177">
      <x:c r="A177" t="str">
        <x:v>toe_shape</x:v>
      </x:c>
      <x:c r="B177" t="str">
        <x:v>Forma de la Punta</x:v>
      </x:c>
      <x:c r="C177" t="str">
        <x:v>4</x:v>
      </x:c>
      <x:c r="D177" t="str">
        <x:v>Puntiaguda</x:v>
      </x:c>
      <x:c r="E177" t="str">
        <x:v>Puntiaguda [4]</x:v>
      </x:c>
      <x:c r="F177" t="str">
        <x:v>No</x:v>
      </x:c>
    </x:row>
    <x:row r="178">
      <x:c r="A178" t="str">
        <x:v>toe_shape</x:v>
      </x:c>
      <x:c r="B178" t="str">
        <x:v>Forma de la Punta</x:v>
      </x:c>
      <x:c r="C178" t="str">
        <x:v>1</x:v>
      </x:c>
      <x:c r="D178" t="str">
        <x:v>Redonda</x:v>
      </x:c>
      <x:c r="E178" t="str">
        <x:v>Redonda [1]</x:v>
      </x:c>
      <x:c r="F178" t="str">
        <x:v>No</x:v>
      </x:c>
    </x:row>
    <x:row r="179">
      <x:c r="A179" t="str">
        <x:v>width_type</x:v>
      </x:c>
      <x:c r="B179" t="str">
        <x:v>Ancho</x:v>
      </x:c>
      <x:c r="C179" t="str">
        <x:v>3</x:v>
      </x:c>
      <x:c r="D179" t="str">
        <x:v>Ancho</x:v>
      </x:c>
      <x:c r="E179" t="str">
        <x:v>Ancho [3]</x:v>
      </x:c>
      <x:c r="F179" t="str">
        <x:v>No</x:v>
      </x:c>
    </x:row>
    <x:row r="180">
      <x:c r="A180" t="str">
        <x:v>width_type</x:v>
      </x:c>
      <x:c r="B180" t="str">
        <x:v>Ancho</x:v>
      </x:c>
      <x:c r="C180" t="str">
        <x:v>1</x:v>
      </x:c>
      <x:c r="D180" t="str">
        <x:v>Angosto</x:v>
      </x:c>
      <x:c r="E180" t="str">
        <x:v>Angosto [1]</x:v>
      </x:c>
      <x:c r="F180" t="str">
        <x:v>No</x:v>
      </x:c>
    </x:row>
    <x:row r="181">
      <x:c r="A181" t="str">
        <x:v>width_type</x:v>
      </x:c>
      <x:c r="B181" t="str">
        <x:v>Ancho</x:v>
      </x:c>
      <x:c r="C181" t="str">
        <x:v>4</x:v>
      </x:c>
      <x:c r="D181" t="str">
        <x:v>Extra Ancho</x:v>
      </x:c>
      <x:c r="E181" t="str">
        <x:v>Extra Ancho [4]</x:v>
      </x:c>
      <x:c r="F181" t="str">
        <x:v>No</x:v>
      </x:c>
    </x:row>
    <x:row r="182">
      <x:c r="A182" t="str">
        <x:v>width_type</x:v>
      </x:c>
      <x:c r="B182" t="str">
        <x:v>Ancho</x:v>
      </x:c>
      <x:c r="C182" t="str">
        <x:v>2</x:v>
      </x:c>
      <x:c r="D182" t="str">
        <x:v>Regular</x:v>
      </x:c>
      <x:c r="E182" t="str">
        <x:v>Regular [2]</x:v>
      </x:c>
      <x:c r="F182" t="str">
        <x:v>No</x:v>
      </x:c>
    </x:row>
    <x:row r="183">
      <x:c r="A183" t="str">
        <x:v>closure_type</x:v>
      </x:c>
      <x:c r="B183" t="str">
        <x:v>Tipo de Cierre</x:v>
      </x:c>
      <x:c r="C183" t="str">
        <x:v>4</x:v>
      </x:c>
      <x:c r="D183" t="str">
        <x:v>Ankle Strap</x:v>
      </x:c>
      <x:c r="E183" t="str">
        <x:v>Ankle Strap [4]</x:v>
      </x:c>
      <x:c r="F183" t="str">
        <x:v>No</x:v>
      </x:c>
    </x:row>
    <x:row r="184">
      <x:c r="A184" t="str">
        <x:v>closure_type</x:v>
      </x:c>
      <x:c r="B184" t="str">
        <x:v>Tipo de Cierre</x:v>
      </x:c>
      <x:c r="C184" t="str">
        <x:v>5</x:v>
      </x:c>
      <x:c r="D184" t="str">
        <x:v>Atletico</x:v>
      </x:c>
      <x:c r="E184" t="str">
        <x:v>Atletico [5]</x:v>
      </x:c>
      <x:c r="F184" t="str">
        <x:v>No</x:v>
      </x:c>
    </x:row>
    <x:row r="185">
      <x:c r="A185" t="str">
        <x:v>closure_type</x:v>
      </x:c>
      <x:c r="B185" t="str">
        <x:v>Tipo de Cierre</x:v>
      </x:c>
      <x:c r="C185" t="str">
        <x:v>12</x:v>
      </x:c>
      <x:c r="D185" t="str">
        <x:v>Ballerina</x:v>
      </x:c>
      <x:c r="E185" t="str">
        <x:v>Ballerina [12]</x:v>
      </x:c>
      <x:c r="F185" t="str">
        <x:v>No</x:v>
      </x:c>
    </x:row>
    <x:row r="186">
      <x:c r="A186" t="str">
        <x:v>closure_type</x:v>
      </x:c>
      <x:c r="B186" t="str">
        <x:v>Tipo de Cierre</x:v>
      </x:c>
      <x:c r="C186" t="str">
        <x:v>21</x:v>
      </x:c>
      <x:c r="D186" t="str">
        <x:v>Clog</x:v>
      </x:c>
      <x:c r="E186" t="str">
        <x:v>Clog [21]</x:v>
      </x:c>
      <x:c r="F186" t="str">
        <x:v>No</x:v>
      </x:c>
    </x:row>
    <x:row r="187">
      <x:c r="A187" t="str">
        <x:v>closure_type</x:v>
      </x:c>
      <x:c r="B187" t="str">
        <x:v>Tipo de Cierre</x:v>
      </x:c>
      <x:c r="C187" t="str">
        <x:v>25</x:v>
      </x:c>
      <x:c r="D187" t="str">
        <x:v>De Seguridad</x:v>
      </x:c>
      <x:c r="E187" t="str">
        <x:v>De Seguridad [25]</x:v>
      </x:c>
      <x:c r="F187" t="str">
        <x:v>No</x:v>
      </x:c>
    </x:row>
    <x:row r="188">
      <x:c r="A188" t="str">
        <x:v>closure_type</x:v>
      </x:c>
      <x:c r="B188" t="str">
        <x:v>Tipo de Cierre</x:v>
      </x:c>
      <x:c r="C188" t="str">
        <x:v>23</x:v>
      </x:c>
      <x:c r="D188" t="str">
        <x:v>De Servicio</x:v>
      </x:c>
      <x:c r="E188" t="str">
        <x:v>De Servicio [23]</x:v>
      </x:c>
      <x:c r="F188" t="str">
        <x:v>No</x:v>
      </x:c>
    </x:row>
    <x:row r="189">
      <x:c r="A189" t="str">
        <x:v>closure_type</x:v>
      </x:c>
      <x:c r="B189" t="str">
        <x:v>Tipo de Cierre</x:v>
      </x:c>
      <x:c r="C189" t="str">
        <x:v>14</x:v>
      </x:c>
      <x:c r="D189" t="str">
        <x:v>High Top</x:v>
      </x:c>
      <x:c r="E189" t="str">
        <x:v>High Top [14]</x:v>
      </x:c>
      <x:c r="F189" t="str">
        <x:v>No</x:v>
      </x:c>
    </x:row>
    <x:row r="190">
      <x:c r="A190" t="str">
        <x:v>closure_type</x:v>
      </x:c>
      <x:c r="B190" t="str">
        <x:v>Tipo de Cierre</x:v>
      </x:c>
      <x:c r="C190" t="str">
        <x:v>24</x:v>
      </x:c>
      <x:c r="D190" t="str">
        <x:v>Hiking</x:v>
      </x:c>
      <x:c r="E190" t="str">
        <x:v>Hiking [24]</x:v>
      </x:c>
      <x:c r="F190" t="str">
        <x:v>No</x:v>
      </x:c>
    </x:row>
    <x:row r="191">
      <x:c r="A191" t="str">
        <x:v>closure_type</x:v>
      </x:c>
      <x:c r="B191" t="str">
        <x:v>Tipo de Cierre</x:v>
      </x:c>
      <x:c r="C191" t="str">
        <x:v>9</x:v>
      </x:c>
      <x:c r="D191" t="str">
        <x:v>Loafer</x:v>
      </x:c>
      <x:c r="E191" t="str">
        <x:v>Loafer [9]</x:v>
      </x:c>
      <x:c r="F191" t="str">
        <x:v>No</x:v>
      </x:c>
    </x:row>
    <x:row r="192">
      <x:c r="A192" t="str">
        <x:v>closure_type</x:v>
      </x:c>
      <x:c r="B192" t="str">
        <x:v>Tipo de Cierre</x:v>
      </x:c>
      <x:c r="C192" t="str">
        <x:v>1</x:v>
      </x:c>
      <x:c r="D192" t="str">
        <x:v>Low Top</x:v>
      </x:c>
      <x:c r="E192" t="str">
        <x:v>Low Top [1]</x:v>
      </x:c>
      <x:c r="F192" t="str">
        <x:v>No</x:v>
      </x:c>
    </x:row>
    <x:row r="193">
      <x:c r="A193" t="str">
        <x:v>closure_type</x:v>
      </x:c>
      <x:c r="B193" t="str">
        <x:v>Tipo de Cierre</x:v>
      </x:c>
      <x:c r="C193" t="str">
        <x:v>13</x:v>
      </x:c>
      <x:c r="D193" t="str">
        <x:v>Mary Jane</x:v>
      </x:c>
      <x:c r="E193" t="str">
        <x:v>Mary Jane [13]</x:v>
      </x:c>
      <x:c r="F193" t="str">
        <x:v>No</x:v>
      </x:c>
    </x:row>
    <x:row r="194">
      <x:c r="A194" t="str">
        <x:v>closure_type</x:v>
      </x:c>
      <x:c r="B194" t="str">
        <x:v>Tipo de Cierre</x:v>
      </x:c>
      <x:c r="C194" t="str">
        <x:v>19</x:v>
      </x:c>
      <x:c r="D194" t="str">
        <x:v>Mocasin</x:v>
      </x:c>
      <x:c r="E194" t="str">
        <x:v>Mocasin [19]</x:v>
      </x:c>
      <x:c r="F194" t="str">
        <x:v>No</x:v>
      </x:c>
    </x:row>
    <x:row r="195">
      <x:c r="A195" t="str">
        <x:v>closure_type</x:v>
      </x:c>
      <x:c r="B195" t="str">
        <x:v>Tipo de Cierre</x:v>
      </x:c>
      <x:c r="C195" t="str">
        <x:v>3</x:v>
      </x:c>
      <x:c r="D195" t="str">
        <x:v>Mule</x:v>
      </x:c>
      <x:c r="E195" t="str">
        <x:v>Mule [3]</x:v>
      </x:c>
      <x:c r="F195" t="str">
        <x:v>No</x:v>
      </x:c>
    </x:row>
    <x:row r="196">
      <x:c r="A196" t="str">
        <x:v>closure_type</x:v>
      </x:c>
      <x:c r="B196" t="str">
        <x:v>Tipo de Cierre</x:v>
      </x:c>
      <x:c r="C196" t="str">
        <x:v>22</x:v>
      </x:c>
      <x:c r="D196" t="str">
        <x:v>Oxford</x:v>
      </x:c>
      <x:c r="E196" t="str">
        <x:v>Oxford [22]</x:v>
      </x:c>
      <x:c r="F196" t="str">
        <x:v>No</x:v>
      </x:c>
    </x:row>
    <x:row r="197">
      <x:c r="A197" t="str">
        <x:v>closure_type</x:v>
      </x:c>
      <x:c r="B197" t="str">
        <x:v>Tipo de Cierre</x:v>
      </x:c>
      <x:c r="C197" t="str">
        <x:v>6</x:v>
      </x:c>
      <x:c r="D197" t="str">
        <x:v>Plataforma Cerrada</x:v>
      </x:c>
      <x:c r="E197" t="str">
        <x:v>Plataforma Cerrada [6]</x:v>
      </x:c>
      <x:c r="F197" t="str">
        <x:v>No</x:v>
      </x:c>
    </x:row>
    <x:row r="198">
      <x:c r="A198" t="str">
        <x:v>closure_type</x:v>
      </x:c>
      <x:c r="B198" t="str">
        <x:v>Tipo de Cierre</x:v>
      </x:c>
      <x:c r="C198" t="str">
        <x:v>2</x:v>
      </x:c>
      <x:c r="D198" t="str">
        <x:v>Plataforma Sandalia</x:v>
      </x:c>
      <x:c r="E198" t="str">
        <x:v>Plataforma Sandalia [2]</x:v>
      </x:c>
      <x:c r="F198" t="str">
        <x:v>No</x:v>
      </x:c>
    </x:row>
    <x:row r="199">
      <x:c r="A199" t="str">
        <x:v>closure_type</x:v>
      </x:c>
      <x:c r="B199" t="str">
        <x:v>Tipo de Cierre</x:v>
      </x:c>
      <x:c r="C199" t="str">
        <x:v>20</x:v>
      </x:c>
      <x:c r="D199" t="str">
        <x:v>Plataforma Tacon</x:v>
      </x:c>
      <x:c r="E199" t="str">
        <x:v>Plataforma Tacon [20]</x:v>
      </x:c>
      <x:c r="F199" t="str">
        <x:v>No</x:v>
      </x:c>
    </x:row>
    <x:row r="200">
      <x:c r="A200" t="str">
        <x:v>closure_type</x:v>
      </x:c>
      <x:c r="B200" t="str">
        <x:v>Tipo de Cierre</x:v>
      </x:c>
      <x:c r="C200" t="str">
        <x:v>16</x:v>
      </x:c>
      <x:c r="D200" t="str">
        <x:v>Pump</x:v>
      </x:c>
      <x:c r="E200" t="str">
        <x:v>Pump [16]</x:v>
      </x:c>
      <x:c r="F200" t="str">
        <x:v>No</x:v>
      </x:c>
    </x:row>
    <x:row r="201">
      <x:c r="A201" t="str">
        <x:v>closure_type</x:v>
      </x:c>
      <x:c r="B201" t="str">
        <x:v>Tipo de Cierre</x:v>
      </x:c>
      <x:c r="C201" t="str">
        <x:v>7</x:v>
      </x:c>
      <x:c r="D201" t="str">
        <x:v>Sling Back</x:v>
      </x:c>
      <x:c r="E201" t="str">
        <x:v>Sling Back [7]</x:v>
      </x:c>
      <x:c r="F201" t="str">
        <x:v>No</x:v>
      </x:c>
    </x:row>
    <x:row r="202">
      <x:c r="A202" t="str">
        <x:v>closure_type</x:v>
      </x:c>
      <x:c r="B202" t="str">
        <x:v>Tipo de Cierre</x:v>
      </x:c>
      <x:c r="C202" t="str">
        <x:v>18</x:v>
      </x:c>
      <x:c r="D202" t="str">
        <x:v>Slip On</x:v>
      </x:c>
      <x:c r="E202" t="str">
        <x:v>Slip On [18]</x:v>
      </x:c>
      <x:c r="F202" t="str">
        <x:v>No</x:v>
      </x:c>
    </x:row>
    <x:row r="203">
      <x:c r="A203" t="str">
        <x:v>closure_type</x:v>
      </x:c>
      <x:c r="B203" t="str">
        <x:v>Tipo de Cierre</x:v>
      </x:c>
      <x:c r="C203" t="str">
        <x:v>15</x:v>
      </x:c>
      <x:c r="D203" t="str">
        <x:v>T-Bar</x:v>
      </x:c>
      <x:c r="E203" t="str">
        <x:v>T-Bar [15]</x:v>
      </x:c>
      <x:c r="F203" t="str">
        <x:v>No</x:v>
      </x:c>
    </x:row>
    <x:row r="204">
      <x:c r="A204" t="str">
        <x:v>closure_type</x:v>
      </x:c>
      <x:c r="B204" t="str">
        <x:v>Tipo de Cierre</x:v>
      </x:c>
      <x:c r="C204" t="str">
        <x:v>8</x:v>
      </x:c>
      <x:c r="D204" t="str">
        <x:v>Thong</x:v>
      </x:c>
      <x:c r="E204" t="str">
        <x:v>Thong [8]</x:v>
      </x:c>
      <x:c r="F204" t="str">
        <x:v>No</x:v>
      </x:c>
    </x:row>
    <x:row r="205">
      <x:c r="A205" t="str">
        <x:v>closure_type</x:v>
      </x:c>
      <x:c r="B205" t="str">
        <x:v>Tipo de Cierre</x:v>
      </x:c>
      <x:c r="C205" t="str">
        <x:v>17</x:v>
      </x:c>
      <x:c r="D205" t="str">
        <x:v>Vaquera</x:v>
      </x:c>
      <x:c r="E205" t="str">
        <x:v>Vaquera [17]</x:v>
      </x:c>
      <x:c r="F205" t="str">
        <x:v>No</x:v>
      </x:c>
    </x:row>
    <x:row r="206">
      <x:c r="A206" t="str">
        <x:v>pattern</x:v>
      </x:c>
      <x:c r="B206" t="str">
        <x:v>Patrón</x:v>
      </x:c>
      <x:c r="C206" t="str">
        <x:v>2</x:v>
      </x:c>
      <x:c r="D206" t="str">
        <x:v>Animal Print</x:v>
      </x:c>
      <x:c r="E206" t="str">
        <x:v>Animal Print [2]</x:v>
      </x:c>
      <x:c r="F206" t="str">
        <x:v>No</x:v>
      </x:c>
    </x:row>
    <x:row r="207">
      <x:c r="A207" t="str">
        <x:v>pattern</x:v>
      </x:c>
      <x:c r="B207" t="str">
        <x:v>Patrón</x:v>
      </x:c>
      <x:c r="C207" t="str">
        <x:v>7</x:v>
      </x:c>
      <x:c r="D207" t="str">
        <x:v>Bordado</x:v>
      </x:c>
      <x:c r="E207" t="str">
        <x:v>Bordado [7]</x:v>
      </x:c>
      <x:c r="F207" t="str">
        <x:v>No</x:v>
      </x:c>
    </x:row>
    <x:row r="208">
      <x:c r="A208" t="str">
        <x:v>pattern</x:v>
      </x:c>
      <x:c r="B208" t="str">
        <x:v>Patrón</x:v>
      </x:c>
      <x:c r="C208" t="str">
        <x:v>6</x:v>
      </x:c>
      <x:c r="D208" t="str">
        <x:v>Cuadros</x:v>
      </x:c>
      <x:c r="E208" t="str">
        <x:v>Cuadros [6]</x:v>
      </x:c>
      <x:c r="F208" t="str">
        <x:v>No</x:v>
      </x:c>
    </x:row>
    <x:row r="209">
      <x:c r="A209" t="str">
        <x:v>pattern</x:v>
      </x:c>
      <x:c r="B209" t="str">
        <x:v>Patrón</x:v>
      </x:c>
      <x:c r="C209" t="str">
        <x:v>3</x:v>
      </x:c>
      <x:c r="D209" t="str">
        <x:v>Floral</x:v>
      </x:c>
      <x:c r="E209" t="str">
        <x:v>Floral [3]</x:v>
      </x:c>
      <x:c r="F209" t="str">
        <x:v>No</x:v>
      </x:c>
    </x:row>
    <x:row r="210">
      <x:c r="A210" t="str">
        <x:v>pattern</x:v>
      </x:c>
      <x:c r="B210" t="str">
        <x:v>Patrón</x:v>
      </x:c>
      <x:c r="C210" t="str">
        <x:v>4</x:v>
      </x:c>
      <x:c r="D210" t="str">
        <x:v>Geometrico</x:v>
      </x:c>
      <x:c r="E210" t="str">
        <x:v>Geometrico [4]</x:v>
      </x:c>
      <x:c r="F210" t="str">
        <x:v>No</x:v>
      </x:c>
    </x:row>
    <x:row r="211">
      <x:c r="A211" t="str">
        <x:v>pattern</x:v>
      </x:c>
      <x:c r="B211" t="str">
        <x:v>Patrón</x:v>
      </x:c>
      <x:c r="C211" t="str">
        <x:v>1</x:v>
      </x:c>
      <x:c r="D211" t="str">
        <x:v>Liso</x:v>
      </x:c>
      <x:c r="E211" t="str">
        <x:v>Liso [1]</x:v>
      </x:c>
      <x:c r="F211" t="str">
        <x:v>No</x:v>
      </x:c>
    </x:row>
    <x:row r="212">
      <x:c r="A212" t="str">
        <x:v>pattern</x:v>
      </x:c>
      <x:c r="B212" t="str">
        <x:v>Patrón</x:v>
      </x:c>
      <x:c r="C212" t="str">
        <x:v>5</x:v>
      </x:c>
      <x:c r="D212" t="str">
        <x:v>Rayas</x:v>
      </x:c>
      <x:c r="E212" t="str">
        <x:v>Rayas [5]</x:v>
      </x:c>
      <x:c r="F212" t="str">
        <x:v>No</x:v>
      </x:c>
    </x:row>
    <x:row r="213">
      <x:c r="A213" t="str">
        <x:v>pattern</x:v>
      </x:c>
      <x:c r="B213" t="str">
        <x:v>Patrón</x:v>
      </x:c>
      <x:c r="C213" t="str">
        <x:v>8</x:v>
      </x:c>
      <x:c r="D213" t="str">
        <x:v>Woven</x:v>
      </x:c>
      <x:c r="E213" t="str">
        <x:v>Woven [8]</x:v>
      </x:c>
      <x:c r="F213" t="str">
        <x:v>No</x:v>
      </x:c>
    </x:row>
    <x:row r="214">
      <x:c r="A214" t="str">
        <x:v>finish</x:v>
      </x:c>
      <x:c r="B214" t="str">
        <x:v>Acabado</x:v>
      </x:c>
      <x:c r="C214" t="str">
        <x:v>3</x:v>
      </x:c>
      <x:c r="D214" t="str">
        <x:v>Brilloso</x:v>
      </x:c>
      <x:c r="E214" t="str">
        <x:v>Brilloso [3]</x:v>
      </x:c>
      <x:c r="F214" t="str">
        <x:v>No</x:v>
      </x:c>
    </x:row>
    <x:row r="215">
      <x:c r="A215" t="str">
        <x:v>finish</x:v>
      </x:c>
      <x:c r="B215" t="str">
        <x:v>Acabado</x:v>
      </x:c>
      <x:c r="C215" t="str">
        <x:v>7</x:v>
      </x:c>
      <x:c r="D215" t="str">
        <x:v>Distressed</x:v>
      </x:c>
      <x:c r="E215" t="str">
        <x:v>Distressed [7]</x:v>
      </x:c>
      <x:c r="F215" t="str">
        <x:v>No</x:v>
      </x:c>
    </x:row>
    <x:row r="216">
      <x:c r="A216" t="str">
        <x:v>finish</x:v>
      </x:c>
      <x:c r="B216" t="str">
        <x:v>Acabado</x:v>
      </x:c>
      <x:c r="C216" t="str">
        <x:v>6</x:v>
      </x:c>
      <x:c r="D216" t="str">
        <x:v>Estampado</x:v>
      </x:c>
      <x:c r="E216" t="str">
        <x:v>Estampado [6]</x:v>
      </x:c>
      <x:c r="F216" t="str">
        <x:v>No</x:v>
      </x:c>
    </x:row>
    <x:row r="217">
      <x:c r="A217" t="str">
        <x:v>finish</x:v>
      </x:c>
      <x:c r="B217" t="str">
        <x:v>Acabado</x:v>
      </x:c>
      <x:c r="C217" t="str">
        <x:v>1</x:v>
      </x:c>
      <x:c r="D217" t="str">
        <x:v>Liso</x:v>
      </x:c>
      <x:c r="E217" t="str">
        <x:v>Liso [1]</x:v>
      </x:c>
      <x:c r="F217" t="str">
        <x:v>No</x:v>
      </x:c>
    </x:row>
    <x:row r="218">
      <x:c r="A218" t="str">
        <x:v>finish</x:v>
      </x:c>
      <x:c r="B218" t="str">
        <x:v>Acabado</x:v>
      </x:c>
      <x:c r="C218" t="str">
        <x:v>4</x:v>
      </x:c>
      <x:c r="D218" t="str">
        <x:v>Mate</x:v>
      </x:c>
      <x:c r="E218" t="str">
        <x:v>Mate [4]</x:v>
      </x:c>
      <x:c r="F218" t="str">
        <x:v>No</x:v>
      </x:c>
    </x:row>
    <x:row r="219">
      <x:c r="A219" t="str">
        <x:v>finish</x:v>
      </x:c>
      <x:c r="B219" t="str">
        <x:v>Acabado</x:v>
      </x:c>
      <x:c r="C219" t="str">
        <x:v>5</x:v>
      </x:c>
      <x:c r="D219" t="str">
        <x:v>Metalico</x:v>
      </x:c>
      <x:c r="E219" t="str">
        <x:v>Metalico [5]</x:v>
      </x:c>
      <x:c r="F219" t="str">
        <x:v>No</x:v>
      </x:c>
    </x:row>
    <x:row r="220">
      <x:c r="A220" t="str">
        <x:v>finish</x:v>
      </x:c>
      <x:c r="B220" t="str">
        <x:v>Acabado</x:v>
      </x:c>
      <x:c r="C220" t="str">
        <x:v>2</x:v>
      </x:c>
      <x:c r="D220" t="str">
        <x:v>Texturizado</x:v>
      </x:c>
      <x:c r="E220" t="str">
        <x:v>Texturizado [2]</x:v>
      </x:c>
      <x:c r="F220" t="str">
        <x:v>No</x:v>
      </x:c>
    </x:row>
    <x:row r="221">
      <x:c r="A221" t="str">
        <x:v>accessory</x:v>
      </x:c>
      <x:c r="B221" t="str">
        <x:v>Accesorio</x:v>
      </x:c>
      <x:c r="C221" t="str">
        <x:v>3</x:v>
      </x:c>
      <x:c r="D221" t="str">
        <x:v>Adorno Metalico</x:v>
      </x:c>
      <x:c r="E221" t="str">
        <x:v>Adorno Metalico [3]</x:v>
      </x:c>
      <x:c r="F221" t="str">
        <x:v>No</x:v>
      </x:c>
    </x:row>
    <x:row r="222">
      <x:c r="A222" t="str">
        <x:v>accessory</x:v>
      </x:c>
      <x:c r="B222" t="str">
        <x:v>Accesorio</x:v>
      </x:c>
      <x:c r="C222" t="str">
        <x:v>9</x:v>
      </x:c>
      <x:c r="D222" t="str">
        <x:v>Bordado</x:v>
      </x:c>
      <x:c r="E222" t="str">
        <x:v>Bordado [9]</x:v>
      </x:c>
      <x:c r="F222" t="str">
        <x:v>No</x:v>
      </x:c>
    </x:row>
    <x:row r="223">
      <x:c r="A223" t="str">
        <x:v>accessory</x:v>
      </x:c>
      <x:c r="B223" t="str">
        <x:v>Accesorio</x:v>
      </x:c>
      <x:c r="C223" t="str">
        <x:v>13</x:v>
      </x:c>
      <x:c r="D223" t="str">
        <x:v>Cadena</x:v>
      </x:c>
      <x:c r="E223" t="str">
        <x:v>Cadena [13]</x:v>
      </x:c>
      <x:c r="F223" t="str">
        <x:v>No</x:v>
      </x:c>
    </x:row>
    <x:row r="224">
      <x:c r="A224" t="str">
        <x:v>accessory</x:v>
      </x:c>
      <x:c r="B224" t="str">
        <x:v>Accesorio</x:v>
      </x:c>
      <x:c r="C224" t="str">
        <x:v>15</x:v>
      </x:c>
      <x:c r="D224" t="str">
        <x:v>Cintas</x:v>
      </x:c>
      <x:c r="E224" t="str">
        <x:v>Cintas [15]</x:v>
      </x:c>
      <x:c r="F224" t="str">
        <x:v>No</x:v>
      </x:c>
    </x:row>
    <x:row r="225">
      <x:c r="A225" t="str">
        <x:v>accessory</x:v>
      </x:c>
      <x:c r="B225" t="str">
        <x:v>Accesorio</x:v>
      </x:c>
      <x:c r="C225" t="str">
        <x:v>14</x:v>
      </x:c>
      <x:c r="D225" t="str">
        <x:v>Cordones</x:v>
      </x:c>
      <x:c r="E225" t="str">
        <x:v>Cordones [14]</x:v>
      </x:c>
      <x:c r="F225" t="str">
        <x:v>No</x:v>
      </x:c>
    </x:row>
    <x:row r="226">
      <x:c r="A226" t="str">
        <x:v>accessory</x:v>
      </x:c>
      <x:c r="B226" t="str">
        <x:v>Accesorio</x:v>
      </x:c>
      <x:c r="C226" t="str">
        <x:v>4</x:v>
      </x:c>
      <x:c r="D226" t="str">
        <x:v>Dije / Charm</x:v>
      </x:c>
      <x:c r="E226" t="str">
        <x:v>Dije / Charm [4]</x:v>
      </x:c>
      <x:c r="F226" t="str">
        <x:v>No</x:v>
      </x:c>
    </x:row>
    <x:row r="227">
      <x:c r="A227" t="str">
        <x:v>accessory</x:v>
      </x:c>
      <x:c r="B227" t="str">
        <x:v>Accesorio</x:v>
      </x:c>
      <x:c r="C227" t="str">
        <x:v>8</x:v>
      </x:c>
      <x:c r="D227" t="str">
        <x:v>Flecos</x:v>
      </x:c>
      <x:c r="E227" t="str">
        <x:v>Flecos [8]</x:v>
      </x:c>
      <x:c r="F227" t="str">
        <x:v>No</x:v>
      </x:c>
    </x:row>
    <x:row r="228">
      <x:c r="A228" t="str">
        <x:v>accessory</x:v>
      </x:c>
      <x:c r="B228" t="str">
        <x:v>Accesorio</x:v>
      </x:c>
      <x:c r="C228" t="str">
        <x:v>2</x:v>
      </x:c>
      <x:c r="D228" t="str">
        <x:v>Hebilla</x:v>
      </x:c>
      <x:c r="E228" t="str">
        <x:v>Hebilla [2]</x:v>
      </x:c>
      <x:c r="F228" t="str">
        <x:v>No</x:v>
      </x:c>
    </x:row>
    <x:row r="229">
      <x:c r="A229" t="str">
        <x:v>accessory</x:v>
      </x:c>
      <x:c r="B229" t="str">
        <x:v>Accesorio</x:v>
      </x:c>
      <x:c r="C229" t="str">
        <x:v>6</x:v>
      </x:c>
      <x:c r="D229" t="str">
        <x:v>Lazos</x:v>
      </x:c>
      <x:c r="E229" t="str">
        <x:v>Lazos [6]</x:v>
      </x:c>
      <x:c r="F229" t="str">
        <x:v>No</x:v>
      </x:c>
    </x:row>
    <x:row r="230">
      <x:c r="A230" t="str">
        <x:v>accessory</x:v>
      </x:c>
      <x:c r="B230" t="str">
        <x:v>Accesorio</x:v>
      </x:c>
      <x:c r="C230" t="str">
        <x:v>7</x:v>
      </x:c>
      <x:c r="D230" t="str">
        <x:v>Moño</x:v>
      </x:c>
      <x:c r="E230" t="str">
        <x:v>Moño [7]</x:v>
      </x:c>
      <x:c r="F230" t="str">
        <x:v>No</x:v>
      </x:c>
    </x:row>
    <x:row r="231">
      <x:c r="A231" t="str">
        <x:v>accessory</x:v>
      </x:c>
      <x:c r="B231" t="str">
        <x:v>Accesorio</x:v>
      </x:c>
      <x:c r="C231" t="str">
        <x:v>10</x:v>
      </x:c>
      <x:c r="D231" t="str">
        <x:v>Pedreria</x:v>
      </x:c>
      <x:c r="E231" t="str">
        <x:v>Pedreria [10]</x:v>
      </x:c>
      <x:c r="F231" t="str">
        <x:v>No</x:v>
      </x:c>
    </x:row>
    <x:row r="232">
      <x:c r="A232" t="str">
        <x:v>accessory</x:v>
      </x:c>
      <x:c r="B232" t="str">
        <x:v>Accesorio</x:v>
      </x:c>
      <x:c r="C232" t="str">
        <x:v>11</x:v>
      </x:c>
      <x:c r="D232" t="str">
        <x:v>Perlas</x:v>
      </x:c>
      <x:c r="E232" t="str">
        <x:v>Perlas [11]</x:v>
      </x:c>
      <x:c r="F232" t="str">
        <x:v>No</x:v>
      </x:c>
    </x:row>
    <x:row r="233">
      <x:c r="A233" t="str">
        <x:v>accessory</x:v>
      </x:c>
      <x:c r="B233" t="str">
        <x:v>Accesorio</x:v>
      </x:c>
      <x:c r="C233" t="str">
        <x:v>692</x:v>
      </x:c>
      <x:c r="D233" t="str">
        <x:v>Piedras</x:v>
      </x:c>
      <x:c r="E233" t="str">
        <x:v>Piedras [692]</x:v>
      </x:c>
      <x:c r="F233" t="str">
        <x:v>No</x:v>
      </x:c>
    </x:row>
    <x:row r="234">
      <x:c r="A234" t="str">
        <x:v>accessory</x:v>
      </x:c>
      <x:c r="B234" t="str">
        <x:v>Accesorio</x:v>
      </x:c>
      <x:c r="C234" t="str">
        <x:v>1</x:v>
      </x:c>
      <x:c r="D234" t="str">
        <x:v>Sin Accesorio</x:v>
      </x:c>
      <x:c r="E234" t="str">
        <x:v>Sin Accesorio [1]</x:v>
      </x:c>
      <x:c r="F234" t="str">
        <x:v>No</x:v>
      </x:c>
    </x:row>
    <x:row r="235">
      <x:c r="A235" t="str">
        <x:v>accessory</x:v>
      </x:c>
      <x:c r="B235" t="str">
        <x:v>Accesorio</x:v>
      </x:c>
      <x:c r="C235" t="str">
        <x:v>5</x:v>
      </x:c>
      <x:c r="D235" t="str">
        <x:v>Tachuelas</x:v>
      </x:c>
      <x:c r="E235" t="str">
        <x:v>Tachuelas [5]</x:v>
      </x:c>
      <x:c r="F235" t="str">
        <x:v>No</x:v>
      </x:c>
    </x:row>
    <x:row r="236">
      <x:c r="A236" t="str">
        <x:v>occasion</x:v>
      </x:c>
      <x:c r="B236" t="str">
        <x:v>Ocasión</x:v>
      </x:c>
      <x:c r="C236" t="str">
        <x:v>1</x:v>
      </x:c>
      <x:c r="D236" t="str">
        <x:v>Casual</x:v>
      </x:c>
      <x:c r="E236" t="str">
        <x:v>Casual [1]</x:v>
      </x:c>
      <x:c r="F236" t="str">
        <x:v>No</x:v>
      </x:c>
    </x:row>
    <x:row r="237">
      <x:c r="A237" t="str">
        <x:v>occasion</x:v>
      </x:c>
      <x:c r="B237" t="str">
        <x:v>Ocasión</x:v>
      </x:c>
      <x:c r="C237" t="str">
        <x:v>4</x:v>
      </x:c>
      <x:c r="D237" t="str">
        <x:v>Deportivo</x:v>
      </x:c>
      <x:c r="E237" t="str">
        <x:v>Deportivo [4]</x:v>
      </x:c>
      <x:c r="F237" t="str">
        <x:v>No</x:v>
      </x:c>
    </x:row>
    <x:row r="238">
      <x:c r="A238" t="str">
        <x:v>occasion</x:v>
      </x:c>
      <x:c r="B238" t="str">
        <x:v>Ocasión</x:v>
      </x:c>
      <x:c r="C238" t="str">
        <x:v>7</x:v>
      </x:c>
      <x:c r="D238" t="str">
        <x:v>Diario</x:v>
      </x:c>
      <x:c r="E238" t="str">
        <x:v>Diario [7]</x:v>
      </x:c>
      <x:c r="F238" t="str">
        <x:v>No</x:v>
      </x:c>
    </x:row>
    <x:row r="239">
      <x:c r="A239" t="str">
        <x:v>occasion</x:v>
      </x:c>
      <x:c r="B239" t="str">
        <x:v>Ocasión</x:v>
      </x:c>
      <x:c r="C239" t="str">
        <x:v>3</x:v>
      </x:c>
      <x:c r="D239" t="str">
        <x:v>Fiesta/Gala</x:v>
      </x:c>
      <x:c r="E239" t="str">
        <x:v>Fiesta/Gala [3]</x:v>
      </x:c>
      <x:c r="F239" t="str">
        <x:v>No</x:v>
      </x:c>
    </x:row>
    <x:row r="240">
      <x:c r="A240" t="str">
        <x:v>occasion</x:v>
      </x:c>
      <x:c r="B240" t="str">
        <x:v>Ocasión</x:v>
      </x:c>
      <x:c r="C240" t="str">
        <x:v>6</x:v>
      </x:c>
      <x:c r="D240" t="str">
        <x:v>Formal</x:v>
      </x:c>
      <x:c r="E240" t="str">
        <x:v>Formal [6]</x:v>
      </x:c>
      <x:c r="F240" t="str">
        <x:v>No</x:v>
      </x:c>
    </x:row>
    <x:row r="241">
      <x:c r="A241" t="str">
        <x:v>occasion</x:v>
      </x:c>
      <x:c r="B241" t="str">
        <x:v>Ocasión</x:v>
      </x:c>
      <x:c r="C241" t="str">
        <x:v>5</x:v>
      </x:c>
      <x:c r="D241" t="str">
        <x:v>Playa</x:v>
      </x:c>
      <x:c r="E241" t="str">
        <x:v>Playa [5]</x:v>
      </x:c>
      <x:c r="F241" t="str">
        <x:v>No</x:v>
      </x:c>
    </x:row>
    <x:row r="242">
      <x:c r="A242" t="str">
        <x:v>occasion</x:v>
      </x:c>
      <x:c r="B242" t="str">
        <x:v>Ocasión</x:v>
      </x:c>
      <x:c r="C242" t="str">
        <x:v>2</x:v>
      </x:c>
      <x:c r="D242" t="str">
        <x:v>Trabajo/Oficina</x:v>
      </x:c>
      <x:c r="E242" t="str">
        <x:v>Trabajo/Oficina [2]</x:v>
      </x:c>
      <x:c r="F242" t="str">
        <x:v>No</x:v>
      </x:c>
    </x:row>
    <x:row r="243">
      <x:c r="A243" t="str">
        <x:v>label_type</x:v>
      </x:c>
      <x:c r="B243" t="str">
        <x:v>Tipo de Etiqueta</x:v>
      </x:c>
      <x:c r="C243" t="str">
        <x:v>4</x:v>
      </x:c>
      <x:c r="D243" t="str">
        <x:v>Hang Tags</x:v>
      </x:c>
      <x:c r="E243" t="str">
        <x:v>Hang Tags [4]</x:v>
      </x:c>
      <x:c r="F243" t="str">
        <x:v>No</x:v>
      </x:c>
    </x:row>
    <x:row r="244">
      <x:c r="A244" t="str">
        <x:v>label_type</x:v>
      </x:c>
      <x:c r="B244" t="str">
        <x:v>Tipo de Etiqueta</x:v>
      </x:c>
      <x:c r="C244" t="str">
        <x:v>1</x:v>
      </x:c>
      <x:c r="D244" t="str">
        <x:v>No Labels</x:v>
      </x:c>
      <x:c r="E244" t="str">
        <x:v>No Labels [1]</x:v>
      </x:c>
      <x:c r="F244" t="str">
        <x:v>No</x:v>
      </x:c>
    </x:row>
    <x:row r="245">
      <x:c r="A245" t="str">
        <x:v>label_type</x:v>
      </x:c>
      <x:c r="B245" t="str">
        <x:v>Tipo de Etiqueta</x:v>
      </x:c>
      <x:c r="C245" t="str">
        <x:v>5</x:v>
      </x:c>
      <x:c r="D245" t="str">
        <x:v>Other Labels</x:v>
      </x:c>
      <x:c r="E245" t="str">
        <x:v>Other Labels [5]</x:v>
      </x:c>
      <x:c r="F245" t="str">
        <x:v>No</x:v>
      </x:c>
    </x:row>
    <x:row r="246">
      <x:c r="A246" t="str">
        <x:v>label_type</x:v>
      </x:c>
      <x:c r="B246" t="str">
        <x:v>Tipo de Etiqueta</x:v>
      </x:c>
      <x:c r="C246" t="str">
        <x:v>2</x:v>
      </x:c>
      <x:c r="D246" t="str">
        <x:v>Regular Labels</x:v>
      </x:c>
      <x:c r="E246" t="str">
        <x:v>Regular Labels [2]</x:v>
      </x:c>
      <x:c r="F246" t="str">
        <x:v>No</x:v>
      </x:c>
    </x:row>
    <x:row r="247">
      <x:c r="A247" t="str">
        <x:v>label_type</x:v>
      </x:c>
      <x:c r="B247" t="str">
        <x:v>Tipo de Etiqueta</x:v>
      </x:c>
      <x:c r="C247" t="str">
        <x:v>3</x:v>
      </x:c>
      <x:c r="D247" t="str">
        <x:v>Small Labels</x:v>
      </x:c>
      <x:c r="E247" t="str">
        <x:v>Small Labels [3]</x:v>
      </x:c>
      <x:c r="F247" t="str">
        <x:v>No</x:v>
      </x:c>
    </x:row>
    <x:row r="248">
      <x:c r="A248" t="str">
        <x:v>macro_dept</x:v>
      </x:c>
      <x:c r="B248" t="str">
        <x:v>Departamento Macro</x:v>
      </x:c>
      <x:c r="C248" t="str">
        <x:v>fiesta</x:v>
      </x:c>
      <x:c r="D248" t="str">
        <x:v>Fiesta</x:v>
      </x:c>
      <x:c r="E248" t="str">
        <x:v>Fiesta [fiesta]</x:v>
      </x:c>
      <x:c r="F248" t="str">
        <x:v>No</x:v>
      </x:c>
    </x:row>
    <x:row r="249">
      <x:c r="A249" t="str">
        <x:v>macro_dept</x:v>
      </x:c>
      <x:c r="B249" t="str">
        <x:v>Departamento Macro</x:v>
      </x:c>
      <x:c r="C249" t="str">
        <x:v>casual</x:v>
      </x:c>
      <x:c r="D249" t="str">
        <x:v>Casual</x:v>
      </x:c>
      <x:c r="E249" t="str">
        <x:v>Casual [casual]</x:v>
      </x:c>
      <x:c r="F249" t="str">
        <x:v>No</x:v>
      </x:c>
    </x:row>
    <x:row r="250">
      <x:c r="A250" t="str">
        <x:v>macro_dept</x:v>
      </x:c>
      <x:c r="B250" t="str">
        <x:v>Departamento Macro</x:v>
      </x:c>
      <x:c r="C250" t="str">
        <x:v>formal</x:v>
      </x:c>
      <x:c r="D250" t="str">
        <x:v>Formal</x:v>
      </x:c>
      <x:c r="E250" t="str">
        <x:v>Formal [formal]</x:v>
      </x:c>
      <x:c r="F250" t="str">
        <x:v>No</x:v>
      </x:c>
    </x:row>
    <x:row r="251">
      <x:c r="A251" t="str">
        <x:v>macro_dept</x:v>
      </x:c>
      <x:c r="B251" t="str">
        <x:v>Departamento Macro</x:v>
      </x:c>
      <x:c r="C251" t="str">
        <x:v>deportivo</x:v>
      </x:c>
      <x:c r="D251" t="str">
        <x:v>Deportivo</x:v>
      </x:c>
      <x:c r="E251" t="str">
        <x:v>Deportivo [deportivo]</x:v>
      </x:c>
      <x:c r="F251" t="str">
        <x:v>No</x:v>
      </x:c>
    </x:row>
    <x:row r="252">
      <x:c r="A252" t="str">
        <x:v>macro_dept</x:v>
      </x:c>
      <x:c r="B252" t="str">
        <x:v>Departamento Macro</x:v>
      </x:c>
      <x:c r="C252" t="str">
        <x:v>botas</x:v>
      </x:c>
      <x:c r="D252" t="str">
        <x:v>Botas</x:v>
      </x:c>
      <x:c r="E252" t="str">
        <x:v>Botas [botas]</x:v>
      </x:c>
      <x:c r="F252" t="str">
        <x:v>No</x:v>
      </x:c>
    </x:row>
    <x:row r="253">
      <x:c r="A253" t="str">
        <x:v>macro_dept</x:v>
      </x:c>
      <x:c r="B253" t="str">
        <x:v>Departamento Macro</x:v>
      </x:c>
      <x:c r="C253" t="str">
        <x:v>sandalia_playa</x:v>
      </x:c>
      <x:c r="D253" t="str">
        <x:v>Sandalia de Playa</x:v>
      </x:c>
      <x:c r="E253" t="str">
        <x:v>Sandalia de Playa [sandalia_playa]</x:v>
      </x:c>
      <x:c r="F253" t="str">
        <x:v>No</x:v>
      </x:c>
    </x:row>
    <x:row r="254">
      <x:c r="A254" t="str">
        <x:v>macro_dept</x:v>
      </x:c>
      <x:c r="B254" t="str">
        <x:v>Departamento Macro</x:v>
      </x:c>
      <x:c r="C254" t="str">
        <x:v>comfort</x:v>
      </x:c>
      <x:c r="D254" t="str">
        <x:v>Comfort</x:v>
      </x:c>
      <x:c r="E254" t="str">
        <x:v>Comfort [comfort]</x:v>
      </x:c>
      <x:c r="F254" t="str">
        <x:v>No</x:v>
      </x:c>
    </x:row>
    <x:row r="255">
      <x:c r="A255" t="str">
        <x:v>marca</x:v>
      </x:c>
      <x:c r="B255" t="str">
        <x:v>Marca</x:v>
      </x:c>
      <x:c r="C255" t="str">
        <x:v>kisses</x:v>
      </x:c>
      <x:c r="D255" t="str">
        <x:v>Kisses</x:v>
      </x:c>
      <x:c r="E255" t="str">
        <x:v>Kisses [kisses]</x:v>
      </x:c>
      <x:c r="F255" t="str">
        <x:v>No</x:v>
      </x:c>
    </x:row>
    <x:row r="256">
      <x:c r="A256" t="str">
        <x:v>marca</x:v>
      </x:c>
      <x:c r="B256" t="str">
        <x:v>Marca</x:v>
      </x:c>
      <x:c r="C256" t="str">
        <x:v>gianni_salvatore</x:v>
      </x:c>
      <x:c r="D256" t="str">
        <x:v>Gianni Salvatore</x:v>
      </x:c>
      <x:c r="E256" t="str">
        <x:v>Gianni Salvatore [gianni_salvatore]</x:v>
      </x:c>
      <x:c r="F256" t="str">
        <x:v>No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e5b3e13dd3fc4c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28.940000534057617" hidden="0" customWidth="1"/>
    <x:col min="3" max="3" width="12.789999961853027" hidden="0" customWidth="1"/>
    <x:col min="4" max="4" width="28.940000534057617" hidden="0" customWidth="1"/>
    <x:col min="5" max="5" width="34.31999969482422" hidden="0" customWidth="1"/>
  </x:cols>
  <x:sheetData>
    <x:row r="1">
      <x:c r="A1" s="23" t="str">
        <x:v>Ladies Categories</x:v>
      </x:c>
      <x:c r="B1" s="23"/>
      <x:c r="C1" s="23"/>
      <x:c r="D1" s="23"/>
      <x:c r="E1" s="23"/>
    </x:row>
    <x:row r="2">
      <x:c r="A2" s="5" t="str">
        <x:v>Women shoe categories currently mapped to product family zapatos.</x:v>
      </x:c>
      <x:c r="B2" s="5"/>
      <x:c r="C2" s="5"/>
      <x:c r="D2" s="5"/>
      <x:c r="E2" s="5"/>
    </x:row>
    <x:row r="4">
      <x:c r="A4" s="8" t="str">
        <x:v>Category #</x:v>
      </x:c>
      <x:c r="B4" s="8" t="str">
        <x:v>Category Description</x:v>
      </x:c>
      <x:c r="C4" s="8" t="str">
        <x:v>Department #</x:v>
      </x:c>
      <x:c r="D4" s="8" t="str">
        <x:v>Department Description</x:v>
      </x:c>
      <x:c r="E4" s="8" t="str">
        <x:v>Dropdown Label</x:v>
      </x:c>
    </x:row>
    <x:row r="5">
      <x:c r="A5" t="n">
        <x:v>146</x:v>
      </x:c>
      <x:c r="B5" t="str">
        <x:v>Zap Dep Marca M</x:v>
      </x:c>
      <x:c r="C5" t="n">
        <x:v>15</x:v>
      </x:c>
      <x:c r="D5" t="str">
        <x:v>ZAP DEP MARCA MUJER</x:v>
      </x:c>
      <x:c r="E5" t="str">
        <x:v>146 - Zap Dep Marca M</x:v>
      </x:c>
    </x:row>
    <x:row r="6">
      <x:c r="A6" t="n">
        <x:v>148</x:v>
      </x:c>
      <x:c r="B6" t="str">
        <x:v>Tenis Marca M</x:v>
      </x:c>
      <x:c r="C6" t="n">
        <x:v>15</x:v>
      </x:c>
      <x:c r="D6" t="str">
        <x:v>ZAP DEP MARCA MUJER</x:v>
      </x:c>
      <x:c r="E6" t="str">
        <x:v>148 - Tenis Marca M</x:v>
      </x:c>
    </x:row>
    <x:row r="7">
      <x:c r="A7" t="n">
        <x:v>149</x:v>
      </x:c>
      <x:c r="B7" t="str">
        <x:v>Tenis Dest Marca M</x:v>
      </x:c>
      <x:c r="C7" t="n">
        <x:v>15</x:v>
      </x:c>
      <x:c r="D7" t="str">
        <x:v>ZAP DEP MARCA MUJER</x:v>
      </x:c>
      <x:c r="E7" t="str">
        <x:v>149 - Tenis Dest Marca M</x:v>
      </x:c>
    </x:row>
    <x:row r="8">
      <x:c r="A8" t="n">
        <x:v>161</x:v>
      </x:c>
      <x:c r="B8" t="str">
        <x:v>Zap Fiesta Marca M</x:v>
      </x:c>
      <x:c r="C8" t="n">
        <x:v>16</x:v>
      </x:c>
      <x:c r="D8" t="str">
        <x:v>ZAPATO MARCA MUJER</x:v>
      </x:c>
      <x:c r="E8" t="str">
        <x:v>161 - Zap Fiesta Marca M</x:v>
      </x:c>
    </x:row>
    <x:row r="9">
      <x:c r="A9" t="n">
        <x:v>162</x:v>
      </x:c>
      <x:c r="B9" t="str">
        <x:v>Zap. Vestir Marca M</x:v>
      </x:c>
      <x:c r="C9" t="n">
        <x:v>16</x:v>
      </x:c>
      <x:c r="D9" t="str">
        <x:v>ZAPATO MARCA MUJER</x:v>
      </x:c>
      <x:c r="E9" t="str">
        <x:v>162 - Zap. Vestir Marca M</x:v>
      </x:c>
    </x:row>
    <x:row r="10">
      <x:c r="A10" t="n">
        <x:v>163</x:v>
      </x:c>
      <x:c r="B10" t="str">
        <x:v>Zap Casual Marca M</x:v>
      </x:c>
      <x:c r="C10" t="n">
        <x:v>16</x:v>
      </x:c>
      <x:c r="D10" t="str">
        <x:v>ZAPATO MARCA MUJER</x:v>
      </x:c>
      <x:c r="E10" t="str">
        <x:v>163 - Zap Casual Marca M</x:v>
      </x:c>
    </x:row>
    <x:row r="11">
      <x:c r="A11" t="n">
        <x:v>164</x:v>
      </x:c>
      <x:c r="B11" t="str">
        <x:v>Zap Des Fies Marca M</x:v>
      </x:c>
      <x:c r="C11" t="n">
        <x:v>16</x:v>
      </x:c>
      <x:c r="D11" t="str">
        <x:v>ZAPATO MARCA MUJER</x:v>
      </x:c>
      <x:c r="E11" t="str">
        <x:v>164 - Zap Des Fies Marca M</x:v>
      </x:c>
    </x:row>
    <x:row r="12">
      <x:c r="A12" t="n">
        <x:v>165</x:v>
      </x:c>
      <x:c r="B12" t="str">
        <x:v>Zap Des Vest Marca M</x:v>
      </x:c>
      <x:c r="C12" t="n">
        <x:v>16</x:v>
      </x:c>
      <x:c r="D12" t="str">
        <x:v>ZAPATO MARCA MUJER</x:v>
      </x:c>
      <x:c r="E12" t="str">
        <x:v>165 - Zap Des Vest Marca M</x:v>
      </x:c>
    </x:row>
    <x:row r="13">
      <x:c r="A13" t="n">
        <x:v>166</x:v>
      </x:c>
      <x:c r="B13" t="str">
        <x:v>Zap Des Cas Marca M</x:v>
      </x:c>
      <x:c r="C13" t="n">
        <x:v>16</x:v>
      </x:c>
      <x:c r="D13" t="str">
        <x:v>ZAPATO MARCA MUJER</x:v>
      </x:c>
      <x:c r="E13" t="str">
        <x:v>166 - Zap Des Cas Marca M</x:v>
      </x:c>
    </x:row>
    <x:row r="14">
      <x:c r="A14" t="n">
        <x:v>167</x:v>
      </x:c>
      <x:c r="B14" t="str">
        <x:v>Sand Fiest Marca M</x:v>
      </x:c>
      <x:c r="C14" t="n">
        <x:v>16</x:v>
      </x:c>
      <x:c r="D14" t="str">
        <x:v>ZAPATO MARCA MUJER</x:v>
      </x:c>
      <x:c r="E14" t="str">
        <x:v>167 - Sand Fiest Marca M</x:v>
      </x:c>
    </x:row>
    <x:row r="15">
      <x:c r="A15" t="n">
        <x:v>168</x:v>
      </x:c>
      <x:c r="B15" t="str">
        <x:v>Sand Vest Marca M</x:v>
      </x:c>
      <x:c r="C15" t="n">
        <x:v>16</x:v>
      </x:c>
      <x:c r="D15" t="str">
        <x:v>ZAPATO MARCA MUJER</x:v>
      </x:c>
      <x:c r="E15" t="str">
        <x:v>168 - Sand Vest Marca M</x:v>
      </x:c>
    </x:row>
    <x:row r="16">
      <x:c r="A16" t="n">
        <x:v>169</x:v>
      </x:c>
      <x:c r="B16" t="str">
        <x:v>Sand Casual Marca M</x:v>
      </x:c>
      <x:c r="C16" t="n">
        <x:v>16</x:v>
      </x:c>
      <x:c r="D16" t="str">
        <x:v>ZAPATO MARCA MUJER</x:v>
      </x:c>
      <x:c r="E16" t="str">
        <x:v>169 - Sand Casual Marca M</x:v>
      </x:c>
    </x:row>
    <x:row r="17">
      <x:c r="A17" t="n">
        <x:v>170</x:v>
      </x:c>
      <x:c r="B17" t="str">
        <x:v>Chan Casual Marca M</x:v>
      </x:c>
      <x:c r="C17" t="n">
        <x:v>16</x:v>
      </x:c>
      <x:c r="D17" t="str">
        <x:v>ZAPATO MARCA MUJER</x:v>
      </x:c>
      <x:c r="E17" t="str">
        <x:v>170 - Chan Casual Marca M</x:v>
      </x:c>
    </x:row>
    <x:row r="18">
      <x:c r="A18" t="n">
        <x:v>171</x:v>
      </x:c>
      <x:c r="B18" t="str">
        <x:v>Chan Playa Marca M</x:v>
      </x:c>
      <x:c r="C18" t="n">
        <x:v>16</x:v>
      </x:c>
      <x:c r="D18" t="str">
        <x:v>ZAPATO MARCA MUJER</x:v>
      </x:c>
      <x:c r="E18" t="str">
        <x:v>171 - Chan Playa Marca M</x:v>
      </x:c>
    </x:row>
    <x:row r="19">
      <x:c r="A19" t="n">
        <x:v>172</x:v>
      </x:c>
      <x:c r="B19" t="str">
        <x:v>Bota Pnt Alt Marca M</x:v>
      </x:c>
      <x:c r="C19" t="n">
        <x:v>16</x:v>
      </x:c>
      <x:c r="D19" t="str">
        <x:v>ZAPATO MARCA MUJER</x:v>
      </x:c>
      <x:c r="E19" t="str">
        <x:v>172 - Bota Pnt Alt Marca M</x:v>
      </x:c>
    </x:row>
    <x:row r="20">
      <x:c r="A20" t="n">
        <x:v>173</x:v>
      </x:c>
      <x:c r="B20" t="str">
        <x:v>Bota Pnt Med Marca M</x:v>
      </x:c>
      <x:c r="C20" t="n">
        <x:v>16</x:v>
      </x:c>
      <x:c r="D20" t="str">
        <x:v>ZAPATO MARCA MUJER</x:v>
      </x:c>
      <x:c r="E20" t="str">
        <x:v>173 - Bota Pnt Med Marca M</x:v>
      </x:c>
    </x:row>
    <x:row r="21">
      <x:c r="A21" t="n">
        <x:v>174</x:v>
      </x:c>
      <x:c r="B21" t="str">
        <x:v>Bota Pnt Baj Marca M</x:v>
      </x:c>
      <x:c r="C21" t="n">
        <x:v>16</x:v>
      </x:c>
      <x:c r="D21" t="str">
        <x:v>ZAPATO MARCA MUJER</x:v>
      </x:c>
      <x:c r="E21" t="str">
        <x:v>174 - Bota Pnt Baj Marca M</x:v>
      </x:c>
    </x:row>
    <x:row r="22">
      <x:c r="A22" t="n">
        <x:v>175</x:v>
      </x:c>
      <x:c r="B22" t="str">
        <x:v>Bota Dest Marca M</x:v>
      </x:c>
      <x:c r="C22" t="n">
        <x:v>16</x:v>
      </x:c>
      <x:c r="D22" t="str">
        <x:v>ZAPATO MARCA MUJER</x:v>
      </x:c>
      <x:c r="E22" t="str">
        <x:v>175 - Bota Dest Marca M</x:v>
      </x:c>
    </x:row>
    <x:row r="23">
      <x:c r="A23" t="n">
        <x:v>556</x:v>
      </x:c>
      <x:c r="B23" t="str">
        <x:v>Zap Deport Mujer</x:v>
      </x:c>
      <x:c r="C23" t="n">
        <x:v>55</x:v>
      </x:c>
      <x:c r="D23" t="str">
        <x:v>ZAPATO DEPORTIVO MUJ</x:v>
      </x:c>
      <x:c r="E23" t="str">
        <x:v>556 - Zap Deport Mujer</x:v>
      </x:c>
    </x:row>
    <x:row r="24">
      <x:c r="A24" t="n">
        <x:v>557</x:v>
      </x:c>
      <x:c r="B24" t="str">
        <x:v>Zap  Ballerinas</x:v>
      </x:c>
      <x:c r="C24" t="n">
        <x:v>56</x:v>
      </x:c>
      <x:c r="D24" t="str">
        <x:v>ZAP. FLATS MUJER</x:v>
      </x:c>
      <x:c r="E24" t="str">
        <x:v>557 - Zap  Ballerinas</x:v>
      </x:c>
    </x:row>
    <x:row r="25">
      <x:c r="A25" t="n">
        <x:v>558</x:v>
      </x:c>
      <x:c r="B25" t="str">
        <x:v>Zap Mocasines</x:v>
      </x:c>
      <x:c r="C25" t="n">
        <x:v>56</x:v>
      </x:c>
      <x:c r="D25" t="str">
        <x:v>ZAP. FLATS MUJER</x:v>
      </x:c>
      <x:c r="E25" t="str">
        <x:v>558 - Zap Mocasines</x:v>
      </x:c>
    </x:row>
    <x:row r="26">
      <x:c r="A26" t="n">
        <x:v>559</x:v>
      </x:c>
      <x:c r="B26" t="str">
        <x:v>Zap Mary Jane</x:v>
      </x:c>
      <x:c r="C26" t="n">
        <x:v>56</x:v>
      </x:c>
      <x:c r="D26" t="str">
        <x:v>ZAP. FLATS MUJER</x:v>
      </x:c>
      <x:c r="E26" t="str">
        <x:v>559 - Zap Mary Jane</x:v>
      </x:c>
    </x:row>
    <x:row r="27">
      <x:c r="A27" t="n">
        <x:v>560</x:v>
      </x:c>
      <x:c r="B27" t="str">
        <x:v>Zap  Flats Abiertos</x:v>
      </x:c>
      <x:c r="C27" t="n">
        <x:v>56</x:v>
      </x:c>
      <x:c r="D27" t="str">
        <x:v>ZAP. FLATS MUJER</x:v>
      </x:c>
      <x:c r="E27" t="str">
        <x:v>560 - Zap  Flats Abiertos</x:v>
      </x:c>
    </x:row>
    <x:row r="28">
      <x:c r="A28" t="n">
        <x:v>561</x:v>
      </x:c>
      <x:c r="B28" t="str">
        <x:v>Zap Escolares</x:v>
      </x:c>
      <x:c r="C28" t="n">
        <x:v>56</x:v>
      </x:c>
      <x:c r="D28" t="str">
        <x:v>ZAP. FLATS MUJER</x:v>
      </x:c>
      <x:c r="E28" t="str">
        <x:v>561 - Zap Escolares</x:v>
      </x:c>
    </x:row>
    <x:row r="29">
      <x:c r="A29" t="n">
        <x:v>562</x:v>
      </x:c>
      <x:c r="B29" t="str">
        <x:v>Zap Tipo TOMS</x:v>
      </x:c>
      <x:c r="C29" t="n">
        <x:v>56</x:v>
      </x:c>
      <x:c r="D29" t="str">
        <x:v>ZAP. FLATS MUJER</x:v>
      </x:c>
      <x:c r="E29" t="str">
        <x:v>562 - Zap Tipo TOMS</x:v>
      </x:c>
    </x:row>
    <x:row r="30">
      <x:c r="A30" t="n">
        <x:v>563</x:v>
      </x:c>
      <x:c r="B30" t="str">
        <x:v>Zap Flats Jelly</x:v>
      </x:c>
      <x:c r="C30" t="n">
        <x:v>56</x:v>
      </x:c>
      <x:c r="D30" t="str">
        <x:v>ZAP. FLATS MUJER</x:v>
      </x:c>
      <x:c r="E30" t="str">
        <x:v>563 - Zap Flats Jelly</x:v>
      </x:c>
    </x:row>
    <x:row r="31">
      <x:c r="A31" t="n">
        <x:v>564</x:v>
      </x:c>
      <x:c r="B31" t="str">
        <x:v>Zapato Con Suela</x:v>
      </x:c>
      <x:c r="C31" t="n">
        <x:v>56</x:v>
      </x:c>
      <x:c r="D31" t="str">
        <x:v>ZAP. FLATS MUJER</x:v>
      </x:c>
      <x:c r="E31" t="str">
        <x:v>564 - Zapato Con Suela</x:v>
      </x:c>
    </x:row>
    <x:row r="32">
      <x:c r="A32" t="n">
        <x:v>565</x:v>
      </x:c>
      <x:c r="B32" t="str">
        <x:v>Zap Pend Clasif</x:v>
      </x:c>
      <x:c r="C32" t="n">
        <x:v>56</x:v>
      </x:c>
      <x:c r="D32" t="str">
        <x:v>ZAP. FLATS MUJER</x:v>
      </x:c>
      <x:c r="E32" t="str">
        <x:v>565 - Zap Pend Clasif</x:v>
      </x:c>
    </x:row>
    <x:row r="33">
      <x:c r="A33" t="n">
        <x:v>566</x:v>
      </x:c>
      <x:c r="B33" t="str">
        <x:v>ZapTacon Alto 4Pulg</x:v>
      </x:c>
      <x:c r="C33" t="n">
        <x:v>57</x:v>
      </x:c>
      <x:c r="D33" t="str">
        <x:v>ZAP. TACON MUJER</x:v>
      </x:c>
      <x:c r="E33" t="str">
        <x:v>566 - ZapTacon Alto 4Pulg</x:v>
      </x:c>
    </x:row>
    <x:row r="34">
      <x:c r="A34" t="n">
        <x:v>567</x:v>
      </x:c>
      <x:c r="B34" t="str">
        <x:v>Zap T/Med 2.5 a 4Pul</x:v>
      </x:c>
      <x:c r="C34" t="n">
        <x:v>57</x:v>
      </x:c>
      <x:c r="D34" t="str">
        <x:v>ZAP. TACON MUJER</x:v>
      </x:c>
      <x:c r="E34" t="str">
        <x:v>567 - Zap T/Med 2.5 a 4Pul</x:v>
      </x:c>
    </x:row>
    <x:row r="35">
      <x:c r="A35" t="n">
        <x:v>568</x:v>
      </x:c>
      <x:c r="B35" t="str">
        <x:v>Zap T/Baj 1a 2.5Pulg</x:v>
      </x:c>
      <x:c r="C35" t="n">
        <x:v>57</x:v>
      </x:c>
      <x:c r="D35" t="str">
        <x:v>ZAP. TACON MUJER</x:v>
      </x:c>
      <x:c r="E35" t="str">
        <x:v>568 - Zap T/Baj 1a 2.5Pulg</x:v>
      </x:c>
    </x:row>
    <x:row r="36">
      <x:c r="A36" t="n">
        <x:v>569</x:v>
      </x:c>
      <x:c r="B36" t="str">
        <x:v> Zap T/clogs madera</x:v>
      </x:c>
      <x:c r="C36" t="n">
        <x:v>57</x:v>
      </x:c>
      <x:c r="D36" t="str">
        <x:v>ZAP. TACON MUJER</x:v>
      </x:c>
      <x:c r="E36" t="str">
        <x:v>569 -  Zap T/clogs madera</x:v>
      </x:c>
    </x:row>
    <x:row r="37">
      <x:c r="A37" t="n">
        <x:v>570</x:v>
      </x:c>
      <x:c r="B37" t="str">
        <x:v>Zap Pend Clasificar</x:v>
      </x:c>
      <x:c r="C37" t="n">
        <x:v>57</x:v>
      </x:c>
      <x:c r="D37" t="str">
        <x:v>ZAP. TACON MUJER</x:v>
      </x:c>
      <x:c r="E37" t="str">
        <x:v>570 - Zap Pend Clasificar</x:v>
      </x:c>
    </x:row>
    <x:row r="38">
      <x:c r="A38" t="n">
        <x:v>571</x:v>
      </x:c>
      <x:c r="B38" t="str">
        <x:v>Zap Pend Clasificar</x:v>
      </x:c>
      <x:c r="C38" t="n">
        <x:v>57</x:v>
      </x:c>
      <x:c r="D38" t="str">
        <x:v>ZAP. TACON MUJER</x:v>
      </x:c>
      <x:c r="E38" t="str">
        <x:v>571 - Zap Pend Clasificar</x:v>
      </x:c>
    </x:row>
    <x:row r="39">
      <x:c r="A39" t="n">
        <x:v>572</x:v>
      </x:c>
      <x:c r="B39" t="str">
        <x:v>Zap TaconPend Clasif</x:v>
      </x:c>
      <x:c r="C39" t="n">
        <x:v>57</x:v>
      </x:c>
      <x:c r="D39" t="str">
        <x:v>ZAP. TACON MUJER</x:v>
      </x:c>
      <x:c r="E39" t="str">
        <x:v>572 - Zap TaconPend Clasif</x:v>
      </x:c>
    </x:row>
    <x:row r="40">
      <x:c r="A40" t="n">
        <x:v>573</x:v>
      </x:c>
      <x:c r="B40" t="str">
        <x:v>Zapatos Fiesta</x:v>
      </x:c>
      <x:c r="C40" t="n">
        <x:v>57</x:v>
      </x:c>
      <x:c r="D40" t="str">
        <x:v>ZAP. TACON MUJER</x:v>
      </x:c>
      <x:c r="E40" t="str">
        <x:v>573 - Zapatos Fiesta</x:v>
      </x:c>
    </x:row>
    <x:row r="41">
      <x:c r="A41" t="n">
        <x:v>585</x:v>
      </x:c>
      <x:c r="B41" t="str">
        <x:v>Sand Meter</x:v>
      </x:c>
      <x:c r="C41" t="n">
        <x:v>59</x:v>
      </x:c>
      <x:c r="D41" t="str">
        <x:v>SANDALIAS MUJER</x:v>
      </x:c>
      <x:c r="E41" t="str">
        <x:v>585 - Sand Meter</x:v>
      </x:c>
    </x:row>
    <x:row r="42">
      <x:c r="A42" t="n">
        <x:v>586</x:v>
      </x:c>
      <x:c r="B42" t="str">
        <x:v>Sand Meter Strap</x:v>
      </x:c>
      <x:c r="C42" t="n">
        <x:v>59</x:v>
      </x:c>
      <x:c r="D42" t="str">
        <x:v>SANDALIAS MUJER</x:v>
      </x:c>
      <x:c r="E42" t="str">
        <x:v>586 - Sand Meter Strap</x:v>
      </x:c>
    </x:row>
    <x:row r="43">
      <x:c r="A43" t="n">
        <x:v>587</x:v>
      </x:c>
      <x:c r="B43" t="str">
        <x:v>Sanda Correas Altas</x:v>
      </x:c>
      <x:c r="C43" t="n">
        <x:v>59</x:v>
      </x:c>
      <x:c r="D43" t="str">
        <x:v>SANDALIAS MUJER</x:v>
      </x:c>
      <x:c r="E43" t="str">
        <x:v>587 - Sanda Correas Altas</x:v>
      </x:c>
    </x:row>
    <x:row r="44">
      <x:c r="A44" t="n">
        <x:v>588</x:v>
      </x:c>
      <x:c r="B44" t="str">
        <x:v>Sand Dedo</x:v>
      </x:c>
      <x:c r="C44" t="n">
        <x:v>59</x:v>
      </x:c>
      <x:c r="D44" t="str">
        <x:v>SANDALIAS MUJER</x:v>
      </x:c>
      <x:c r="E44" t="str">
        <x:v>588 - Sand Dedo</x:v>
      </x:c>
    </x:row>
    <x:row r="45">
      <x:c r="A45" t="n">
        <x:v>589</x:v>
      </x:c>
      <x:c r="B45" t="str">
        <x:v>Chancletas Playa</x:v>
      </x:c>
      <x:c r="C45" t="n">
        <x:v>59</x:v>
      </x:c>
      <x:c r="D45" t="str">
        <x:v>SANDALIAS MUJER</x:v>
      </x:c>
      <x:c r="E45" t="str">
        <x:v>589 - Chancletas Playa</x:v>
      </x:c>
    </x:row>
    <x:row r="46">
      <x:c r="A46" t="n">
        <x:v>590</x:v>
      </x:c>
      <x:c r="B46" t="str">
        <x:v>Sandalias Jelly</x:v>
      </x:c>
      <x:c r="C46" t="n">
        <x:v>59</x:v>
      </x:c>
      <x:c r="D46" t="str">
        <x:v>SANDALIAS MUJER</x:v>
      </x:c>
      <x:c r="E46" t="str">
        <x:v>590 - Sandalias Jelly</x:v>
      </x:c>
    </x:row>
    <x:row r="47">
      <x:c r="A47" t="n">
        <x:v>591</x:v>
      </x:c>
      <x:c r="B47" t="str">
        <x:v>Bota Alta</x:v>
      </x:c>
      <x:c r="C47" t="n">
        <x:v>60</x:v>
      </x:c>
      <x:c r="D47" t="str">
        <x:v>BOTAS MUJER</x:v>
      </x:c>
      <x:c r="E47" t="str">
        <x:v>591 - Bota Alta</x:v>
      </x:c>
    </x:row>
    <x:row r="48">
      <x:c r="A48" t="n">
        <x:v>592</x:v>
      </x:c>
      <x:c r="B48" t="str">
        <x:v>Bota Mediana</x:v>
      </x:c>
      <x:c r="C48" t="n">
        <x:v>60</x:v>
      </x:c>
      <x:c r="D48" t="str">
        <x:v>BOTAS MUJER</x:v>
      </x:c>
      <x:c r="E48" t="str">
        <x:v>592 - Bota Mediana</x:v>
      </x:c>
    </x:row>
    <x:row r="49">
      <x:c r="A49" t="n">
        <x:v>593</x:v>
      </x:c>
      <x:c r="B49" t="str">
        <x:v>Botines Mujer</x:v>
      </x:c>
      <x:c r="C49" t="n">
        <x:v>60</x:v>
      </x:c>
      <x:c r="D49" t="str">
        <x:v>BOTAS MUJER</x:v>
      </x:c>
      <x:c r="E49" t="str">
        <x:v>593 - Botines Mujer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a507c7dde34844f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4399995803833" hidden="0" customWidth="1"/>
    <x:col min="2" max="2" width="24.899999618530273" hidden="0" customWidth="1"/>
    <x:col min="3" max="3" width="12.789999961853027" hidden="0" customWidth="1"/>
    <x:col min="4" max="4" width="12.789999961853027" hidden="0" customWidth="1"/>
    <x:col min="5" max="5" width="47.779998779296875" hidden="0" customWidth="1"/>
    <x:col min="6" max="6" width="28.940000534057617" hidden="0" customWidth="1"/>
    <x:col min="7" max="7" width="23.549999237060547" hidden="0" customWidth="1"/>
    <x:col min="8" max="8" width="16.81999969482422" hidden="0" customWidth="1"/>
    <x:col min="9" max="9" width="6.329999923706055" hidden="0" customWidth="1"/>
    <x:col min="10" max="10" width="6.329999923706055" hidden="0" customWidth="1"/>
    <x:col min="11" max="11" width="6.329999923706055" hidden="0" customWidth="1"/>
    <x:col min="12" max="12" width="6.329999923706055" hidden="0" customWidth="1"/>
    <x:col min="13" max="13" width="6.329999923706055" hidden="0" customWidth="1"/>
    <x:col min="14" max="14" width="6.329999923706055" hidden="0" customWidth="1"/>
    <x:col min="15" max="15" width="6.329999923706055" hidden="0" customWidth="1"/>
    <x:col min="16" max="16" width="6.329999923706055" hidden="0" customWidth="1"/>
    <x:col min="17" max="17" width="6.329999923706055" hidden="0" customWidth="1"/>
    <x:col min="18" max="18" width="6.329999923706055" hidden="0" customWidth="1"/>
    <x:col min="19" max="19" width="6.329999923706055" hidden="0" customWidth="1"/>
    <x:col min="20" max="20" width="6.329999923706055" hidden="0" customWidth="1"/>
    <x:col min="21" max="21" width="6.329999923706055" hidden="0" customWidth="1"/>
    <x:col min="22" max="22" width="6.329999923706055" hidden="0" customWidth="1"/>
    <x:col min="23" max="23" width="6.329999923706055" hidden="0" customWidth="1"/>
    <x:col min="24" max="24" width="6.329999923706055" hidden="0" customWidth="1"/>
    <x:col min="25" max="25" width="6.329999923706055" hidden="0" customWidth="1"/>
    <x:col min="26" max="26" width="6.329999923706055" hidden="0" customWidth="1"/>
    <x:col min="27" max="27" width="6.329999923706055" hidden="0" customWidth="1"/>
    <x:col min="28" max="28" width="6.329999923706055" hidden="0" customWidth="1"/>
    <x:col min="29" max="29" width="6.329999923706055" hidden="0" customWidth="1"/>
    <x:col min="30" max="30" width="6.329999923706055" hidden="0" customWidth="1"/>
  </x:cols>
  <x:sheetData>
    <x:row r="1">
      <x:c r="A1" s="23" t="str">
        <x:v>Size Templates</x:v>
      </x:c>
      <x:c r="B1" s="23"/>
      <x:c r="C1" s="23"/>
      <x:c r="D1" s="23"/>
      <x:c r="E1" s="23"/>
      <x:c r="F1" s="23"/>
      <x:c r="G1" s="23"/>
      <x:c r="H1" s="23"/>
    </x:row>
    <x:row r="2">
      <x:c r="A2" s="5" t="str">
        <x:v>Candidate ladies shoe size grids. The Order Sheet quantity columns use size type 214 by default.</x:v>
      </x:c>
      <x:c r="B2" s="5"/>
      <x:c r="C2" s="5"/>
      <x:c r="D2" s="5"/>
      <x:c r="E2" s="5"/>
      <x:c r="F2" s="5"/>
      <x:c r="G2" s="5"/>
      <x:c r="H2" s="5"/>
    </x:row>
    <x:row r="4">
      <x:c r="A4" s="8" t="str">
        <x:v>Size Type</x:v>
      </x:c>
      <x:c r="B4" s="8" t="str">
        <x:v>Description</x:v>
      </x:c>
      <x:c r="C4" s="8" t="str">
        <x:v>Column Desc</x:v>
      </x:c>
      <x:c r="D4" s="8" t="str">
        <x:v>Row Desc</x:v>
      </x:c>
      <x:c r="E4" s="8" t="str">
        <x:v>Size Labels</x:v>
      </x:c>
      <x:c r="F4" s="8" t="str">
        <x:v>Dropdown Label</x:v>
      </x:c>
      <x:c r="G4" s="8" t="str">
        <x:v>Row Labels</x:v>
      </x:c>
      <x:c r="H4" s="8" t="str">
        <x:v>Grid Shape</x:v>
      </x:c>
    </x:row>
    <x:row r="5">
      <x:c r="A5" t="n">
        <x:v>30</x:v>
      </x:c>
      <x:c r="B5" t="str">
        <x:v>ZapMujMarcAnch MARCA</x:v>
      </x:c>
      <x:c r="C5" t="str">
        <x:v>TALLA</x:v>
      </x:c>
      <x:c r="D5" t="str">
        <x:v>ANCHO</x:v>
      </x:c>
      <x:c r="E5" t="str">
        <x:v>050, 055, 060, 065, 070, 075, 080, 085, 090, 095, 100, 105, 110, 115, 120</x:v>
      </x:c>
      <x:c r="F5" t="str">
        <x:v>30 - ZapMujMarcAnch MARCA</x:v>
      </x:c>
      <x:c r="G5" t="str">
        <x:v>M, W</x:v>
      </x:c>
      <x:c r="H5" t="str">
        <x:v>15 columns x 2 rows</x:v>
      </x:c>
    </x:row>
    <x:row r="6">
      <x:c r="A6" t="n">
        <x:v>214</x:v>
      </x:c>
      <x:c r="B6" t="str">
        <x:v>Zap Damas 33-41 SI</x:v>
      </x:c>
      <x:c r="C6" t="str">
        <x:v>Size</x:v>
      </x:c>
      <x:c r="D6" t="str"/>
      <x:c r="E6" t="str">
        <x:v>330, 340, 350, 360, 370, 380, 390, 400, 410, 42, 43, 44</x:v>
      </x:c>
      <x:c r="F6" t="str">
        <x:v>214 - Zap Damas 33-41 SI</x:v>
      </x:c>
      <x:c r="G6" t="str"/>
      <x:c r="H6" t="str">
        <x:v>12 columns x 1 rows</x:v>
      </x:c>
    </x:row>
    <x:row r="7">
      <x:c r="A7" t="n">
        <x:v>216</x:v>
      </x:c>
      <x:c r="B7" t="str">
        <x:v>Zap Cab-Dam 34-46 SI</x:v>
      </x:c>
      <x:c r="C7" t="str">
        <x:v>Talla</x:v>
      </x:c>
      <x:c r="D7" t="str"/>
      <x:c r="E7" t="str">
        <x:v>34, 35, 36, 37, 38, 39, 40, 41, 42, 43, 44, 45, 46, M, 32, 33</x:v>
      </x:c>
      <x:c r="F7" t="str">
        <x:v>216 - Zap Cab-Dam 34-46 SI</x:v>
      </x:c>
      <x:c r="G7" t="str"/>
      <x:c r="H7" t="str">
        <x:v>16 columns x 1 rows</x:v>
      </x:c>
    </x:row>
    <x:row r="8">
      <x:c r="A8" t="n">
        <x:v>217</x:v>
      </x:c>
      <x:c r="B8" t="str">
        <x:v>Zapatos  &gt; 33</x:v>
      </x:c>
      <x:c r="C8" t="str">
        <x:v>Size</x:v>
      </x:c>
      <x:c r="D8" t="str"/>
      <x:c r="E8" t="str">
        <x:v>330, 335, 340, 345, 350, 355, 360, 365, 370, 375, 380, 385, 390, 395, 400, 405, 410, 415, 420, 425, 430, 435, 440, 445, 450</x:v>
      </x:c>
      <x:c r="F8" t="str">
        <x:v>217 - Zapatos  &gt; 33</x:v>
      </x:c>
      <x:c r="G8" t="str"/>
      <x:c r="H8" t="str">
        <x:v>25 columns x 1 rows</x:v>
      </x:c>
    </x:row>
    <x:row r="11">
      <x:c r="A11" s="25" t="str">
        <x:v>30 - ZapMujMarcAnch MARCA</x:v>
      </x:c>
    </x:row>
    <x:row r="12">
      <x:c r="B12" s="7" t="str">
        <x:v>050</x:v>
      </x:c>
      <x:c r="C12" s="7" t="str">
        <x:v>055</x:v>
      </x:c>
      <x:c r="D12" s="7" t="str">
        <x:v>060</x:v>
      </x:c>
      <x:c r="E12" s="7" t="str">
        <x:v>065</x:v>
      </x:c>
      <x:c r="F12" s="7" t="str">
        <x:v>070</x:v>
      </x:c>
      <x:c r="G12" s="7" t="str">
        <x:v>075</x:v>
      </x:c>
      <x:c r="H12" s="7" t="str">
        <x:v>080</x:v>
      </x:c>
      <x:c r="I12" s="7" t="str">
        <x:v>085</x:v>
      </x:c>
      <x:c r="J12" s="7" t="str">
        <x:v>090</x:v>
      </x:c>
      <x:c r="K12" s="7" t="str">
        <x:v>095</x:v>
      </x:c>
      <x:c r="L12" s="7" t="str">
        <x:v>100</x:v>
      </x:c>
      <x:c r="M12" s="7" t="str">
        <x:v>105</x:v>
      </x:c>
      <x:c r="N12" s="7" t="str">
        <x:v>110</x:v>
      </x:c>
      <x:c r="O12" s="7" t="str">
        <x:v>115</x:v>
      </x:c>
      <x:c r="P12" s="7" t="str">
        <x:v>120</x:v>
      </x:c>
    </x:row>
    <x:row r="13">
      <x:c r="A13" s="27" t="str">
        <x:v>M</x:v>
      </x:c>
      <x:c r="B13" s="9" t="str"/>
      <x:c r="C13" s="9" t="str"/>
      <x:c r="D13" s="9" t="str"/>
      <x:c r="E13" s="9" t="str"/>
      <x:c r="F13" s="9" t="str"/>
      <x:c r="G13" s="9" t="str"/>
      <x:c r="H13" s="9" t="str"/>
      <x:c r="I13" s="9" t="str"/>
      <x:c r="J13" s="9" t="str"/>
      <x:c r="K13" s="9" t="str"/>
      <x:c r="L13" s="9" t="str"/>
      <x:c r="M13" s="9" t="str"/>
      <x:c r="N13" s="9" t="str"/>
      <x:c r="O13" s="9" t="str"/>
      <x:c r="P13" s="9" t="str"/>
    </x:row>
    <x:row r="14">
      <x:c r="A14" s="27" t="str">
        <x:v>W</x:v>
      </x:c>
      <x:c r="B14" s="9" t="str"/>
      <x:c r="C14" s="9" t="str"/>
      <x:c r="D14" s="9" t="str"/>
      <x:c r="E14" s="9" t="str"/>
      <x:c r="F14" s="9" t="str"/>
      <x:c r="G14" s="9" t="str"/>
      <x:c r="H14" s="9" t="str"/>
      <x:c r="I14" s="9" t="str"/>
      <x:c r="J14" s="9" t="str"/>
      <x:c r="K14" s="9" t="str"/>
      <x:c r="L14" s="9" t="str"/>
      <x:c r="M14" s="9" t="str"/>
      <x:c r="N14" s="9" t="str"/>
      <x:c r="O14" s="9" t="str"/>
      <x:c r="P14" s="9" t="str"/>
    </x:row>
    <x:row r="17">
      <x:c r="A17" s="25" t="str">
        <x:v>214 - Zap Damas 33-41 SI</x:v>
      </x:c>
    </x:row>
    <x:row r="18">
      <x:c r="B18" s="7" t="str">
        <x:v>330</x:v>
      </x:c>
      <x:c r="C18" s="7" t="str">
        <x:v>340</x:v>
      </x:c>
      <x:c r="D18" s="7" t="str">
        <x:v>350</x:v>
      </x:c>
      <x:c r="E18" s="7" t="str">
        <x:v>360</x:v>
      </x:c>
      <x:c r="F18" s="7" t="str">
        <x:v>370</x:v>
      </x:c>
      <x:c r="G18" s="7" t="str">
        <x:v>380</x:v>
      </x:c>
      <x:c r="H18" s="7" t="str">
        <x:v>390</x:v>
      </x:c>
      <x:c r="I18" s="7" t="str">
        <x:v>400</x:v>
      </x:c>
      <x:c r="J18" s="7" t="str">
        <x:v>410</x:v>
      </x:c>
      <x:c r="K18" s="7" t="str">
        <x:v>42</x:v>
      </x:c>
      <x:c r="L18" s="7" t="str">
        <x:v>43</x:v>
      </x:c>
      <x:c r="M18" s="7" t="str">
        <x:v>44</x:v>
      </x:c>
    </x:row>
    <x:row r="19">
      <x:c r="A19" s="27" t="str">
        <x:v>Qty</x:v>
      </x:c>
      <x:c r="B19" s="9" t="str"/>
      <x:c r="C19" s="9" t="str"/>
      <x:c r="D19" s="9" t="str"/>
      <x:c r="E19" s="9" t="str"/>
      <x:c r="F19" s="9" t="str"/>
      <x:c r="G19" s="9" t="str"/>
      <x:c r="H19" s="9" t="str"/>
      <x:c r="I19" s="9" t="str"/>
      <x:c r="J19" s="9" t="str"/>
      <x:c r="K19" s="9" t="str"/>
      <x:c r="L19" s="9" t="str"/>
      <x:c r="M19" s="9" t="str"/>
    </x:row>
    <x:row r="22">
      <x:c r="A22" s="25" t="str">
        <x:v>216 - Zap Cab-Dam 34-46 SI</x:v>
      </x:c>
    </x:row>
    <x:row r="23">
      <x:c r="B23" s="7" t="str">
        <x:v>34</x:v>
      </x:c>
      <x:c r="C23" s="7" t="str">
        <x:v>35</x:v>
      </x:c>
      <x:c r="D23" s="7" t="str">
        <x:v>36</x:v>
      </x:c>
      <x:c r="E23" s="7" t="str">
        <x:v>37</x:v>
      </x:c>
      <x:c r="F23" s="7" t="str">
        <x:v>38</x:v>
      </x:c>
      <x:c r="G23" s="7" t="str">
        <x:v>39</x:v>
      </x:c>
      <x:c r="H23" s="7" t="str">
        <x:v>40</x:v>
      </x:c>
      <x:c r="I23" s="7" t="str">
        <x:v>41</x:v>
      </x:c>
      <x:c r="J23" s="7" t="str">
        <x:v>42</x:v>
      </x:c>
      <x:c r="K23" s="7" t="str">
        <x:v>43</x:v>
      </x:c>
      <x:c r="L23" s="7" t="str">
        <x:v>44</x:v>
      </x:c>
      <x:c r="M23" s="7" t="str">
        <x:v>45</x:v>
      </x:c>
      <x:c r="N23" s="7" t="str">
        <x:v>46</x:v>
      </x:c>
      <x:c r="O23" s="7" t="str">
        <x:v>M</x:v>
      </x:c>
      <x:c r="P23" s="7" t="str">
        <x:v>32</x:v>
      </x:c>
      <x:c r="Q23" s="7" t="str">
        <x:v>33</x:v>
      </x:c>
    </x:row>
    <x:row r="24">
      <x:c r="A24" s="27" t="str">
        <x:v>Qty</x:v>
      </x:c>
      <x:c r="B24" s="9" t="str"/>
      <x:c r="C24" s="9" t="str"/>
      <x:c r="D24" s="9" t="str"/>
      <x:c r="E24" s="9" t="str"/>
      <x:c r="F24" s="9" t="str"/>
      <x:c r="G24" s="9" t="str"/>
      <x:c r="H24" s="9" t="str"/>
      <x:c r="I24" s="9" t="str"/>
      <x:c r="J24" s="9" t="str"/>
      <x:c r="K24" s="9" t="str"/>
      <x:c r="L24" s="9" t="str"/>
      <x:c r="M24" s="9" t="str"/>
      <x:c r="N24" s="9" t="str"/>
      <x:c r="O24" s="9" t="str"/>
      <x:c r="P24" s="9" t="str"/>
      <x:c r="Q24" s="9" t="str"/>
    </x:row>
    <x:row r="27">
      <x:c r="A27" s="25" t="str">
        <x:v>217 - Zapatos  &gt; 33</x:v>
      </x:c>
    </x:row>
    <x:row r="28">
      <x:c r="B28" s="7" t="str">
        <x:v>330</x:v>
      </x:c>
      <x:c r="C28" s="7" t="str">
        <x:v>335</x:v>
      </x:c>
      <x:c r="D28" s="7" t="str">
        <x:v>340</x:v>
      </x:c>
      <x:c r="E28" s="7" t="str">
        <x:v>345</x:v>
      </x:c>
      <x:c r="F28" s="7" t="str">
        <x:v>350</x:v>
      </x:c>
      <x:c r="G28" s="7" t="str">
        <x:v>355</x:v>
      </x:c>
      <x:c r="H28" s="7" t="str">
        <x:v>360</x:v>
      </x:c>
      <x:c r="I28" s="7" t="str">
        <x:v>365</x:v>
      </x:c>
      <x:c r="J28" s="7" t="str">
        <x:v>370</x:v>
      </x:c>
      <x:c r="K28" s="7" t="str">
        <x:v>375</x:v>
      </x:c>
      <x:c r="L28" s="7" t="str">
        <x:v>380</x:v>
      </x:c>
      <x:c r="M28" s="7" t="str">
        <x:v>385</x:v>
      </x:c>
      <x:c r="N28" s="7" t="str">
        <x:v>390</x:v>
      </x:c>
      <x:c r="O28" s="7" t="str">
        <x:v>395</x:v>
      </x:c>
      <x:c r="P28" s="7" t="str">
        <x:v>400</x:v>
      </x:c>
      <x:c r="Q28" s="7" t="str">
        <x:v>405</x:v>
      </x:c>
      <x:c r="R28" s="7" t="str">
        <x:v>410</x:v>
      </x:c>
      <x:c r="S28" s="7" t="str">
        <x:v>415</x:v>
      </x:c>
      <x:c r="T28" s="7" t="str">
        <x:v>420</x:v>
      </x:c>
      <x:c r="U28" s="7" t="str">
        <x:v>425</x:v>
      </x:c>
      <x:c r="V28" s="7" t="str">
        <x:v>430</x:v>
      </x:c>
      <x:c r="W28" s="7" t="str">
        <x:v>435</x:v>
      </x:c>
      <x:c r="X28" s="7" t="str">
        <x:v>440</x:v>
      </x:c>
      <x:c r="Y28" s="7" t="str">
        <x:v>445</x:v>
      </x:c>
      <x:c r="Z28" s="7" t="str">
        <x:v>450</x:v>
      </x:c>
    </x:row>
    <x:row r="29">
      <x:c r="A29" s="27" t="str">
        <x:v>Qty</x:v>
      </x:c>
      <x:c r="B29" s="9" t="str"/>
      <x:c r="C29" s="9" t="str"/>
      <x:c r="D29" s="9" t="str"/>
      <x:c r="E29" s="9" t="str"/>
      <x:c r="F29" s="9" t="str"/>
      <x:c r="G29" s="9" t="str"/>
      <x:c r="H29" s="9" t="str"/>
      <x:c r="I29" s="9" t="str"/>
      <x:c r="J29" s="9" t="str"/>
      <x:c r="K29" s="9" t="str"/>
      <x:c r="L29" s="9" t="str"/>
      <x:c r="M29" s="9" t="str"/>
      <x:c r="N29" s="9" t="str"/>
      <x:c r="O29" s="9" t="str"/>
      <x:c r="P29" s="9" t="str"/>
      <x:c r="Q29" s="9" t="str"/>
      <x:c r="R29" s="9" t="str"/>
      <x:c r="S29" s="9" t="str"/>
      <x:c r="T29" s="9" t="str"/>
      <x:c r="U29" s="9" t="str"/>
      <x:c r="V29" s="9" t="str"/>
      <x:c r="W29" s="9" t="str"/>
      <x:c r="X29" s="9" t="str"/>
      <x:c r="Y29" s="9" t="str"/>
      <x:c r="Z29" s="9" t="str"/>
    </x:row>
  </x:sheetData>
  <x:mergeCells>
    <x:mergeCell ref="A1:H1"/>
    <x:mergeCell ref="A2:H2"/>
    <x:mergeCell ref="A11:H11"/>
    <x:mergeCell ref="A17:H17"/>
    <x:mergeCell ref="A22:H22"/>
    <x:mergeCell ref="A27:H27"/>
  </x:mergeCells>
  <x:pageMargins left="0.7" right="0.7" top="0.75" bottom="0.75" header="0.3" footer="0.3"/>
  <x:tableParts count="1">
    <x:tablePart xmlns:r="http://schemas.openxmlformats.org/officeDocument/2006/relationships" r:id="R841ae7739e7a4051"/>
  </x:tableParts>
</x:worksheet>
</file>